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s" sheetId="1" r:id="rId5"/>
    <sheet state="visible" name="Gastos" sheetId="2" r:id="rId6"/>
    <sheet state="visible" name="Balance y Saldos" sheetId="3" r:id="rId7"/>
    <sheet state="visible" name="Compra Piso" sheetId="4" r:id="rId8"/>
    <sheet state="visible" name="Gráficos" sheetId="5" r:id="rId9"/>
  </sheets>
  <definedNames/>
  <calcPr/>
</workbook>
</file>

<file path=xl/sharedStrings.xml><?xml version="1.0" encoding="utf-8"?>
<sst xmlns="http://schemas.openxmlformats.org/spreadsheetml/2006/main" count="367" uniqueCount="138">
  <si>
    <t>💰 CONTROL DE INGRESOS - AÑO COMPLETO</t>
  </si>
  <si>
    <t>AÑO:</t>
  </si>
  <si>
    <t>🟨 Físico = efectivo | 🟩 Digital = banco/transferencias</t>
  </si>
  <si>
    <t>👩 INGRESOS DE IRENE</t>
  </si>
  <si>
    <t>Concepto</t>
  </si>
  <si>
    <t>Tipo</t>
  </si>
  <si>
    <t>F/D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</si>
  <si>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</si>
  <si>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</si>
  <si>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</si>
  <si>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</si>
  <si>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</si>
  <si>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</si>
  <si>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</si>
  <si>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</si>
  <si>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</si>
  <si>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</si>
  <si>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</si>
  <si>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</si>
  <si>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</si>
  <si>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Nómina</t>
  </si>
  <si>
    <t>Fijo</t>
  </si>
  <si>
    <t>F</t>
  </si>
  <si>
    <t>D</t>
  </si>
  <si>
    <t>Pagas extra</t>
  </si>
  <si>
    <t>Freelance/Extra</t>
  </si>
  <si>
    <t>Variable</t>
  </si>
  <si>
    <t>Becas/Ayudas</t>
  </si>
  <si>
    <t>Otros ingresos</t>
  </si>
  <si>
    <t>TOTAL FÍSICO IRENE</t>
  </si>
  <si>
    <t>TOTAL DIGITAL IRENE</t>
  </si>
  <si>
    <t>TOTAL IRENE</t>
  </si>
  <si>
    <t>👨 INGRESOS DE VICENTE</t>
  </si>
  <si>
    <t>TOTAL FÍSICO VICENTE</t>
  </si>
  <si>
    <t>TOTAL DIGITAL VICENTE</t>
  </si>
  <si>
    <t>TOTAL VICENTE</t>
  </si>
  <si>
    <t>💸 CONTROL DE GASTOS - AÑO COMPLETO</t>
  </si>
  <si>
    <t>👩 GASTOS DE IRENE (comunes + personales)</t>
  </si>
  <si>
    <t>Alquiler (su parte)</t>
  </si>
  <si>
    <t>Suministros</t>
  </si>
  <si>
    <t>Internet+Móvil</t>
  </si>
  <si>
    <t>Supermercado</t>
  </si>
  <si>
    <t>Transporte</t>
  </si>
  <si>
    <t>Ocio/Restaurantes</t>
  </si>
  <si>
    <t>Ropa/Calzado</t>
  </si>
  <si>
    <t>Salud</t>
  </si>
  <si>
    <t>Suscripciones</t>
  </si>
  <si>
    <t>Otros gastos</t>
  </si>
  <si>
    <t>TOTAL GASTOS IRENE</t>
  </si>
  <si>
    <t>👨 GASTOS DE VICENTE (comunes + personales)</t>
  </si>
  <si>
    <t>TOTAL GASTOS VICENTE</t>
  </si>
  <si>
    <t>💰 BALANCE MENSUAL Y EVOLUCIÓN DE SALDOS</t>
  </si>
  <si>
    <t>💵 SALDOS INICIALES (a 11 de enero 2026)</t>
  </si>
  <si>
    <t>Cuenta</t>
  </si>
  <si>
    <t>Físico (€)</t>
  </si>
  <si>
    <t>Digital (€)</t>
  </si>
  <si>
    <t>Total (€)</t>
  </si>
  <si>
    <t>Irene</t>
  </si>
  <si>
    <t>Vicente</t>
  </si>
  <si>
    <t>Cuenta Conjunta</t>
  </si>
  <si>
    <t>👩 BALANCE MENSUAL IRENE</t>
  </si>
  <si>
    <t>Ingresos (F+D)</t>
  </si>
  <si>
    <t>Gastos (F+D)</t>
  </si>
  <si>
    <t>Ahorro del mes</t>
  </si>
  <si>
    <t>Transferencia → Conjunta</t>
  </si>
  <si>
    <t>SALDO IRENE</t>
  </si>
  <si>
    <t>👨 BALANCE MENSUAL VICENTE</t>
  </si>
  <si>
    <t>SALDO VICENTE</t>
  </si>
  <si>
    <t>🏦 CUENTA CONJUNTA (Hucha para el piso)</t>
  </si>
  <si>
    <t>Aportación Irene</t>
  </si>
  <si>
    <t>Aportación Vicente</t>
  </si>
  <si>
    <t>Otros (intereses, etc)</t>
  </si>
  <si>
    <t>SALDO CONJUNTA</t>
  </si>
  <si>
    <t>📊 RESUMEN: PATRIMONIO TOTAL</t>
  </si>
  <si>
    <t>FINAL</t>
  </si>
  <si>
    <t>Saldo Irene</t>
  </si>
  <si>
    <t>Saldo Vicente</t>
  </si>
  <si>
    <t>Saldo Conjunta</t>
  </si>
  <si>
    <t>TOTAL PATRIMONIO</t>
  </si>
  <si>
    <t>🏠 PLANIFICACIÓN COMPRA VIVIENDA - VALENCIA</t>
  </si>
  <si>
    <t>💵 DINERO DISPONIBLE (a fin de año)</t>
  </si>
  <si>
    <t>Saldo Irene (dic)</t>
  </si>
  <si>
    <t>Saldo Vicente (dic)</t>
  </si>
  <si>
    <t>Saldo Conjunta (dic)</t>
  </si>
  <si>
    <t>TOTAL DISPONIBLE</t>
  </si>
  <si>
    <t>🏡 DATOS DE LA VIVIENDA</t>
  </si>
  <si>
    <t>Precio vivienda</t>
  </si>
  <si>
    <t>Nueva</t>
  </si>
  <si>
    <t>Nueva / Segunda mano</t>
  </si>
  <si>
    <t>¿Menor 35 años?</t>
  </si>
  <si>
    <t>Sí</t>
  </si>
  <si>
    <t>Sí=6% / No=10%</t>
  </si>
  <si>
    <t>📋 GASTOS DE COMPRA</t>
  </si>
  <si>
    <t>ITP (2ª mano)</t>
  </si>
  <si>
    <t>IVA (nueva)</t>
  </si>
  <si>
    <t>AJD (nueva)</t>
  </si>
  <si>
    <t>Notaría+Registro+Gestoría</t>
  </si>
  <si>
    <t>Tasación</t>
  </si>
  <si>
    <t>TOTAL GASTOS</t>
  </si>
  <si>
    <t>🏦 HIPOTECA</t>
  </si>
  <si>
    <t>% Financiación</t>
  </si>
  <si>
    <t>Importe hipoteca</t>
  </si>
  <si>
    <t>ENTRADA</t>
  </si>
  <si>
    <t>TIN Anual</t>
  </si>
  <si>
    <t>Plazo (años)</t>
  </si>
  <si>
    <t>CUOTA MENSUAL</t>
  </si>
  <si>
    <t>Ingresos netos/mes</t>
  </si>
  <si>
    <t>RATIO ENDEUDAMIENTO</t>
  </si>
  <si>
    <t>Estado</t>
  </si>
  <si>
    <t>💰 ¿CUÁNTO NECESITAMOS?</t>
  </si>
  <si>
    <t>Entrada</t>
  </si>
  <si>
    <t>Gastos compra</t>
  </si>
  <si>
    <t>Muebles/Reformas</t>
  </si>
  <si>
    <t>Colchón emergencia</t>
  </si>
  <si>
    <t>TOTAL NECESARIO</t>
  </si>
  <si>
    <t>Disponible</t>
  </si>
  <si>
    <t>FALTA</t>
  </si>
  <si>
    <t>Ahorro mensual est.</t>
  </si>
  <si>
    <t>Meses necesarios</t>
  </si>
  <si>
    <t>Fecha estimada</t>
  </si>
  <si>
    <t>📊 DASHBOARD DE GRÁFICOS</t>
  </si>
  <si>
    <t>DATOS PARA GRÁFICOS (no modificar)</t>
  </si>
  <si>
    <t>Ing. Irene</t>
  </si>
  <si>
    <t>Ing. Vicente</t>
  </si>
  <si>
    <t>Gast. Irene</t>
  </si>
  <si>
    <t>Gast. Vicente</t>
  </si>
  <si>
    <t>Aport. Irene</t>
  </si>
  <si>
    <t>Aport. Vicente</t>
  </si>
  <si>
    <t>Total Patrimonio</t>
  </si>
  <si>
    <t>TOTALES ANUALES</t>
  </si>
  <si>
    <t>Total Aport. Irene</t>
  </si>
  <si>
    <t>Total Aport. Vicente</t>
  </si>
  <si>
    <t>FÍSICO VS DIGITAL</t>
  </si>
  <si>
    <t>Ing. Físico Total</t>
  </si>
  <si>
    <t>Ing. Digital Total</t>
  </si>
  <si>
    <t>META AHORRO</t>
  </si>
  <si>
    <t>Necesario</t>
  </si>
  <si>
    <t>Falta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</si>
</sst>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&quot; €&quot;"/>
    <numFmt numFmtId="165" formatCode="#,##0.00&quot; €&quot;"/>
    <numFmt numFmtId="166" formatCode="0.0%"/>
    <numFmt numFmtId="167" formatCode="mmm\ yyyy"/>
  </numFmts>
  <fonts count="16">
    <font>
      <sz val="11.0"/>
      <color theme="1"/>
      <name val="Calibri"/>
      <scheme val="minor"/>
    </font>
    <font>
      <b/>
      <sz val="14.0"/>
      <color rgb="FFFFFFFF"/>
      <name val="Cambria"/>
    </font>
    <font/>
    <font>
      <b/>
      <sz val="10.0"/>
      <color rgb="FF000000"/>
      <name val="Cambria"/>
    </font>
    <font>
      <b/>
      <sz val="11.0"/>
      <color rgb="FF0000FF"/>
      <name val="Cambria"/>
    </font>
    <font>
      <i/>
      <sz val="9.0"/>
      <color theme="1"/>
      <name val="Cambria"/>
    </font>
    <font>
      <b/>
      <sz val="11.0"/>
      <color rgb="FFFFFFFF"/>
      <name val="Cambria"/>
    </font>
    <font>
      <sz val="11.0"/>
      <color theme="1"/>
      <name val="Calibri"/>
    </font>
    <font>
      <sz val="11.0"/>
      <color rgb="FF0000FF"/>
      <name val="Cambria"/>
    </font>
    <font>
      <b/>
      <sz val="9.0"/>
      <color theme="1"/>
      <name val="Cambria"/>
    </font>
    <font>
      <sz val="11.0"/>
      <color rgb="FF008000"/>
      <name val="Cambria"/>
    </font>
    <font>
      <b/>
      <sz val="11.0"/>
      <color theme="1"/>
      <name val="Cambria"/>
    </font>
    <font>
      <b/>
      <sz val="12.0"/>
      <color theme="1"/>
      <name val="Cambria"/>
    </font>
    <font>
      <b/>
      <sz val="12.0"/>
      <color rgb="FFFFFFFF"/>
      <name val="Cambria"/>
    </font>
    <font>
      <b/>
      <sz val="9.0"/>
      <color rgb="FF888888"/>
      <name val="Cambria"/>
    </font>
    <font>
      <sz val="9.0"/>
      <color theme="1"/>
      <name val="Cambria"/>
    </font>
  </fonts>
  <fills count="2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9B59B6"/>
        <bgColor rgb="FF9B59B6"/>
      </patternFill>
    </fill>
    <fill>
      <patternFill patternType="solid">
        <fgColor rgb="FFD6DCE5"/>
        <bgColor rgb="FFD6DCE5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D9EAD3"/>
        <bgColor rgb="FFD9EAD3"/>
      </patternFill>
    </fill>
    <fill>
      <patternFill patternType="solid">
        <fgColor rgb="FF3498DB"/>
        <bgColor rgb="FF3498DB"/>
      </patternFill>
    </fill>
    <fill>
      <patternFill patternType="solid">
        <fgColor rgb="FFDDEBF7"/>
        <bgColor rgb="FFDDEBF7"/>
      </patternFill>
    </fill>
    <fill>
      <patternFill patternType="solid">
        <fgColor rgb="FFC0392B"/>
        <bgColor rgb="FFC0392B"/>
      </patternFill>
    </fill>
    <fill>
      <patternFill patternType="solid">
        <fgColor rgb="FFE2EFDA"/>
        <bgColor rgb="FFE2EFDA"/>
      </patternFill>
    </fill>
    <fill>
      <patternFill patternType="solid">
        <fgColor rgb="FF27AE60"/>
        <bgColor rgb="FF27AE60"/>
      </patternFill>
    </fill>
    <fill>
      <patternFill patternType="solid">
        <fgColor rgb="FFF39C12"/>
        <bgColor rgb="FFF39C12"/>
      </patternFill>
    </fill>
    <fill>
      <patternFill patternType="solid">
        <fgColor rgb="FFD8BDE2"/>
        <bgColor rgb="FFD8BDE2"/>
      </patternFill>
    </fill>
    <fill>
      <patternFill patternType="solid">
        <fgColor rgb="FFABEBC6"/>
        <bgColor rgb="FFABEBC6"/>
      </patternFill>
    </fill>
    <fill>
      <patternFill patternType="solid">
        <fgColor rgb="FFAED6F1"/>
        <bgColor rgb="FFAED6F1"/>
      </patternFill>
    </fill>
    <fill>
      <patternFill patternType="solid">
        <fgColor rgb="FFD5F5E3"/>
        <bgColor rgb="FFD5F5E3"/>
      </patternFill>
    </fill>
    <fill>
      <patternFill patternType="solid">
        <fgColor rgb="FFE74C3C"/>
        <bgColor rgb="FFE74C3C"/>
      </patternFill>
    </fill>
    <fill>
      <patternFill patternType="solid">
        <fgColor rgb="FFFCE4D6"/>
        <bgColor rgb="FFFCE4D6"/>
      </patternFill>
    </fill>
    <fill>
      <patternFill patternType="solid">
        <fgColor rgb="FF2ECC71"/>
        <bgColor rgb="FF2ECC71"/>
      </patternFill>
    </fill>
    <fill>
      <patternFill patternType="solid">
        <fgColor rgb="FF2C3E50"/>
        <bgColor rgb="FF2C3E5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4" fontId="6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6" fontId="8" numFmtId="3" xfId="0" applyAlignment="1" applyBorder="1" applyFont="1" applyNumberFormat="1">
      <alignment shrinkToFit="0" vertical="bottom" wrapText="0"/>
    </xf>
    <xf borderId="4" fillId="7" fontId="7" numFmtId="164" xfId="0" applyAlignment="1" applyBorder="1" applyFill="1" applyFont="1" applyNumberFormat="1">
      <alignment shrinkToFit="0" vertical="bottom" wrapText="0"/>
    </xf>
    <xf borderId="4" fillId="8" fontId="7" numFmtId="0" xfId="0" applyAlignment="1" applyBorder="1" applyFill="1" applyFont="1">
      <alignment horizontal="center" shrinkToFit="0" vertical="center" wrapText="1"/>
    </xf>
    <xf borderId="4" fillId="8" fontId="8" numFmtId="3" xfId="0" applyAlignment="1" applyBorder="1" applyFont="1" applyNumberFormat="1">
      <alignment readingOrder="0" shrinkToFit="0" vertical="bottom" wrapText="0"/>
    </xf>
    <xf borderId="4" fillId="8" fontId="8" numFmtId="3" xfId="0" applyAlignment="1" applyBorder="1" applyFont="1" applyNumberFormat="1">
      <alignment shrinkToFit="0" vertical="bottom" wrapText="0"/>
    </xf>
    <xf borderId="4" fillId="6" fontId="9" numFmtId="0" xfId="0" applyAlignment="1" applyBorder="1" applyFont="1">
      <alignment shrinkToFit="0" vertical="bottom" wrapText="0"/>
    </xf>
    <xf borderId="4" fillId="6" fontId="7" numFmtId="0" xfId="0" applyAlignment="1" applyBorder="1" applyFont="1">
      <alignment shrinkToFit="0" vertical="bottom" wrapText="0"/>
    </xf>
    <xf borderId="4" fillId="6" fontId="9" numFmtId="164" xfId="0" applyAlignment="1" applyBorder="1" applyFont="1" applyNumberFormat="1">
      <alignment shrinkToFit="0" vertical="bottom" wrapText="0"/>
    </xf>
    <xf borderId="4" fillId="8" fontId="9" numFmtId="0" xfId="0" applyAlignment="1" applyBorder="1" applyFont="1">
      <alignment shrinkToFit="0" vertical="bottom" wrapText="0"/>
    </xf>
    <xf borderId="4" fillId="8" fontId="7" numFmtId="0" xfId="0" applyAlignment="1" applyBorder="1" applyFont="1">
      <alignment shrinkToFit="0" vertical="bottom" wrapText="0"/>
    </xf>
    <xf borderId="4" fillId="8" fontId="9" numFmtId="164" xfId="0" applyAlignment="1" applyBorder="1" applyFont="1" applyNumberFormat="1">
      <alignment shrinkToFit="0" vertical="bottom" wrapText="0"/>
    </xf>
    <xf borderId="5" fillId="7" fontId="3" numFmtId="0" xfId="0" applyAlignment="1" applyBorder="1" applyFont="1">
      <alignment shrinkToFit="0" vertical="bottom" wrapText="0"/>
    </xf>
    <xf borderId="5" fillId="7" fontId="7" numFmtId="0" xfId="0" applyAlignment="1" applyBorder="1" applyFont="1">
      <alignment shrinkToFit="0" vertical="bottom" wrapText="0"/>
    </xf>
    <xf borderId="5" fillId="7" fontId="3" numFmtId="164" xfId="0" applyAlignment="1" applyBorder="1" applyFont="1" applyNumberFormat="1">
      <alignment shrinkToFit="0" vertical="bottom" wrapText="0"/>
    </xf>
    <xf borderId="1" fillId="9" fontId="6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readingOrder="0" shrinkToFit="0" vertical="bottom" wrapText="0"/>
    </xf>
    <xf borderId="4" fillId="10" fontId="7" numFmtId="164" xfId="0" applyAlignment="1" applyBorder="1" applyFill="1" applyFont="1" applyNumberFormat="1">
      <alignment shrinkToFit="0" vertical="bottom" wrapText="0"/>
    </xf>
    <xf borderId="5" fillId="10" fontId="3" numFmtId="0" xfId="0" applyAlignment="1" applyBorder="1" applyFont="1">
      <alignment shrinkToFit="0" vertical="bottom" wrapText="0"/>
    </xf>
    <xf borderId="5" fillId="10" fontId="7" numFmtId="0" xfId="0" applyAlignment="1" applyBorder="1" applyFont="1">
      <alignment shrinkToFit="0" vertical="bottom" wrapText="0"/>
    </xf>
    <xf borderId="5" fillId="10" fontId="3" numFmtId="164" xfId="0" applyAlignment="1" applyBorder="1" applyFont="1" applyNumberFormat="1">
      <alignment shrinkToFit="0" vertical="bottom" wrapText="0"/>
    </xf>
    <xf borderId="1" fillId="11" fontId="1" numFmtId="0" xfId="0" applyAlignment="1" applyBorder="1" applyFill="1" applyFont="1">
      <alignment horizontal="center" shrinkToFit="0" vertical="center" wrapText="1"/>
    </xf>
    <xf borderId="4" fillId="12" fontId="10" numFmtId="0" xfId="0" applyAlignment="1" applyBorder="1" applyFill="1" applyFont="1">
      <alignment shrinkToFit="0" vertical="bottom" wrapText="0"/>
    </xf>
    <xf borderId="1" fillId="13" fontId="1" numFmtId="0" xfId="0" applyAlignment="1" applyBorder="1" applyFill="1" applyFont="1">
      <alignment horizontal="center" shrinkToFit="0" vertical="center" wrapText="1"/>
    </xf>
    <xf borderId="1" fillId="14" fontId="6" numFmtId="0" xfId="0" applyAlignment="1" applyBorder="1" applyFill="1" applyFont="1">
      <alignment horizontal="center" readingOrder="0" shrinkToFit="0" vertical="center" wrapText="1"/>
    </xf>
    <xf borderId="4" fillId="7" fontId="7" numFmtId="0" xfId="0" applyAlignment="1" applyBorder="1" applyFont="1">
      <alignment shrinkToFit="0" vertical="bottom" wrapText="0"/>
    </xf>
    <xf borderId="4" fillId="6" fontId="4" numFmtId="164" xfId="0" applyAlignment="1" applyBorder="1" applyFont="1" applyNumberFormat="1">
      <alignment readingOrder="0" shrinkToFit="0" vertical="bottom" wrapText="0"/>
    </xf>
    <xf borderId="4" fillId="8" fontId="4" numFmtId="164" xfId="0" applyAlignment="1" applyBorder="1" applyFont="1" applyNumberFormat="1">
      <alignment readingOrder="0" shrinkToFit="0" vertical="bottom" wrapText="0"/>
    </xf>
    <xf borderId="4" fillId="10" fontId="7" numFmtId="0" xfId="0" applyAlignment="1" applyBorder="1" applyFont="1">
      <alignment shrinkToFit="0" vertical="bottom" wrapText="0"/>
    </xf>
    <xf borderId="4" fillId="12" fontId="7" numFmtId="0" xfId="0" applyAlignment="1" applyBorder="1" applyFont="1">
      <alignment shrinkToFit="0" vertical="bottom" wrapText="0"/>
    </xf>
    <xf borderId="4" fillId="6" fontId="4" numFmtId="164" xfId="0" applyAlignment="1" applyBorder="1" applyFont="1" applyNumberFormat="1">
      <alignment shrinkToFit="0" vertical="bottom" wrapText="0"/>
    </xf>
    <xf borderId="4" fillId="12" fontId="7" numFmtId="164" xfId="0" applyAlignment="1" applyBorder="1" applyFont="1" applyNumberFormat="1">
      <alignment shrinkToFit="0" vertical="bottom" wrapText="0"/>
    </xf>
    <xf borderId="4" fillId="0" fontId="10" numFmtId="3" xfId="0" applyAlignment="1" applyBorder="1" applyFont="1" applyNumberFormat="1">
      <alignment shrinkToFit="0" vertical="bottom" wrapText="0"/>
    </xf>
    <xf borderId="4" fillId="0" fontId="10" numFmtId="164" xfId="0" applyAlignment="1" applyBorder="1" applyFont="1" applyNumberFormat="1">
      <alignment shrinkToFit="0" vertical="bottom" wrapText="0"/>
    </xf>
    <xf borderId="4" fillId="15" fontId="11" numFmtId="0" xfId="0" applyAlignment="1" applyBorder="1" applyFill="1" applyFont="1">
      <alignment shrinkToFit="0" vertical="bottom" wrapText="0"/>
    </xf>
    <xf borderId="4" fillId="15" fontId="7" numFmtId="0" xfId="0" applyAlignment="1" applyBorder="1" applyFont="1">
      <alignment shrinkToFit="0" vertical="bottom" wrapText="0"/>
    </xf>
    <xf borderId="4" fillId="15" fontId="11" numFmtId="3" xfId="0" applyAlignment="1" applyBorder="1" applyFont="1" applyNumberFormat="1">
      <alignment shrinkToFit="0" vertical="bottom" wrapText="0"/>
    </xf>
    <xf borderId="4" fillId="16" fontId="8" numFmtId="3" xfId="0" applyAlignment="1" applyBorder="1" applyFill="1" applyFont="1" applyNumberFormat="1">
      <alignment shrinkToFit="0" vertical="bottom" wrapText="0"/>
    </xf>
    <xf borderId="5" fillId="7" fontId="11" numFmtId="0" xfId="0" applyAlignment="1" applyBorder="1" applyFont="1">
      <alignment shrinkToFit="0" vertical="bottom" wrapText="0"/>
    </xf>
    <xf borderId="5" fillId="7" fontId="11" numFmtId="164" xfId="0" applyAlignment="1" applyBorder="1" applyFont="1" applyNumberFormat="1">
      <alignment shrinkToFit="0" vertical="bottom" wrapText="0"/>
    </xf>
    <xf borderId="4" fillId="17" fontId="11" numFmtId="0" xfId="0" applyAlignment="1" applyBorder="1" applyFill="1" applyFont="1">
      <alignment shrinkToFit="0" vertical="bottom" wrapText="0"/>
    </xf>
    <xf borderId="4" fillId="17" fontId="7" numFmtId="0" xfId="0" applyAlignment="1" applyBorder="1" applyFont="1">
      <alignment shrinkToFit="0" vertical="bottom" wrapText="0"/>
    </xf>
    <xf borderId="4" fillId="17" fontId="11" numFmtId="3" xfId="0" applyAlignment="1" applyBorder="1" applyFont="1" applyNumberFormat="1">
      <alignment shrinkToFit="0" vertical="bottom" wrapText="0"/>
    </xf>
    <xf borderId="5" fillId="10" fontId="11" numFmtId="0" xfId="0" applyAlignment="1" applyBorder="1" applyFont="1">
      <alignment shrinkToFit="0" vertical="bottom" wrapText="0"/>
    </xf>
    <xf borderId="5" fillId="10" fontId="11" numFmtId="164" xfId="0" applyAlignment="1" applyBorder="1" applyFont="1" applyNumberFormat="1">
      <alignment shrinkToFit="0" vertical="bottom" wrapText="0"/>
    </xf>
    <xf borderId="1" fillId="13" fontId="6" numFmtId="0" xfId="0" applyAlignment="1" applyBorder="1" applyFont="1">
      <alignment horizontal="center" shrinkToFit="0" vertical="center" wrapText="1"/>
    </xf>
    <xf borderId="4" fillId="18" fontId="8" numFmtId="3" xfId="0" applyAlignment="1" applyBorder="1" applyFill="1" applyFont="1" applyNumberFormat="1">
      <alignment shrinkToFit="0" vertical="bottom" wrapText="0"/>
    </xf>
    <xf borderId="5" fillId="12" fontId="11" numFmtId="0" xfId="0" applyAlignment="1" applyBorder="1" applyFont="1">
      <alignment shrinkToFit="0" vertical="bottom" wrapText="0"/>
    </xf>
    <xf borderId="5" fillId="12" fontId="7" numFmtId="0" xfId="0" applyAlignment="1" applyBorder="1" applyFont="1">
      <alignment shrinkToFit="0" vertical="bottom" wrapText="0"/>
    </xf>
    <xf borderId="5" fillId="12" fontId="11" numFmtId="164" xfId="0" applyAlignment="1" applyBorder="1" applyFont="1" applyNumberFormat="1">
      <alignment shrinkToFit="0" vertical="bottom" wrapText="0"/>
    </xf>
    <xf borderId="1" fillId="19" fontId="6" numFmtId="0" xfId="0" applyAlignment="1" applyBorder="1" applyFill="1" applyFont="1">
      <alignment horizontal="center" shrinkToFit="0" vertical="center" wrapText="1"/>
    </xf>
    <xf borderId="5" fillId="11" fontId="6" numFmtId="0" xfId="0" applyAlignment="1" applyBorder="1" applyFont="1">
      <alignment shrinkToFit="0" vertical="bottom" wrapText="0"/>
    </xf>
    <xf borderId="5" fillId="11" fontId="7" numFmtId="0" xfId="0" applyAlignment="1" applyBorder="1" applyFont="1">
      <alignment shrinkToFit="0" vertical="bottom" wrapText="0"/>
    </xf>
    <xf borderId="5" fillId="11" fontId="6" numFmtId="164" xfId="0" applyAlignment="1" applyBorder="1" applyFont="1" applyNumberFormat="1">
      <alignment shrinkToFit="0" vertical="bottom" wrapText="0"/>
    </xf>
    <xf borderId="5" fillId="13" fontId="11" numFmtId="0" xfId="0" applyAlignment="1" applyBorder="1" applyFont="1">
      <alignment shrinkToFit="0" vertical="bottom" wrapText="0"/>
    </xf>
    <xf borderId="5" fillId="13" fontId="12" numFmtId="164" xfId="0" applyAlignment="1" applyBorder="1" applyFont="1" applyNumberFormat="1">
      <alignment shrinkToFit="0" vertical="bottom" wrapText="0"/>
    </xf>
    <xf borderId="4" fillId="3" fontId="4" numFmtId="164" xfId="0" applyAlignment="1" applyBorder="1" applyFont="1" applyNumberFormat="1">
      <alignment readingOrder="0" shrinkToFit="0" vertical="bottom" wrapText="0"/>
    </xf>
    <xf borderId="4" fillId="3" fontId="4" numFmtId="0" xfId="0" applyAlignment="1" applyBorder="1" applyFont="1">
      <alignment shrinkToFit="0" vertical="bottom" wrapText="0"/>
    </xf>
    <xf borderId="4" fillId="20" fontId="7" numFmtId="164" xfId="0" applyAlignment="1" applyBorder="1" applyFill="1" applyFont="1" applyNumberFormat="1">
      <alignment shrinkToFit="0" vertical="bottom" wrapText="0"/>
    </xf>
    <xf borderId="4" fillId="0" fontId="7" numFmtId="164" xfId="0" applyAlignment="1" applyBorder="1" applyFont="1" applyNumberFormat="1">
      <alignment shrinkToFit="0" vertical="bottom" wrapText="0"/>
    </xf>
    <xf borderId="4" fillId="0" fontId="8" numFmtId="164" xfId="0" applyAlignment="1" applyBorder="1" applyFont="1" applyNumberFormat="1">
      <alignment shrinkToFit="0" vertical="bottom" wrapText="0"/>
    </xf>
    <xf borderId="5" fillId="19" fontId="6" numFmtId="0" xfId="0" applyAlignment="1" applyBorder="1" applyFont="1">
      <alignment shrinkToFit="0" vertical="bottom" wrapText="0"/>
    </xf>
    <xf borderId="5" fillId="19" fontId="13" numFmtId="164" xfId="0" applyAlignment="1" applyBorder="1" applyFont="1" applyNumberFormat="1">
      <alignment shrinkToFit="0" vertical="bottom" wrapText="0"/>
    </xf>
    <xf borderId="4" fillId="3" fontId="4" numFmtId="9" xfId="0" applyAlignment="1" applyBorder="1" applyFont="1" applyNumberFormat="1">
      <alignment shrinkToFit="0" vertical="bottom" wrapText="0"/>
    </xf>
    <xf borderId="5" fillId="14" fontId="11" numFmtId="0" xfId="0" applyAlignment="1" applyBorder="1" applyFont="1">
      <alignment shrinkToFit="0" vertical="bottom" wrapText="0"/>
    </xf>
    <xf borderId="5" fillId="14" fontId="12" numFmtId="164" xfId="0" applyAlignment="1" applyBorder="1" applyFont="1" applyNumberFormat="1">
      <alignment shrinkToFit="0" vertical="bottom" wrapText="0"/>
    </xf>
    <xf borderId="4" fillId="3" fontId="4" numFmtId="10" xfId="0" applyAlignment="1" applyBorder="1" applyFont="1" applyNumberFormat="1">
      <alignment shrinkToFit="0" vertical="bottom" wrapText="0"/>
    </xf>
    <xf borderId="5" fillId="4" fontId="6" numFmtId="0" xfId="0" applyAlignment="1" applyBorder="1" applyFont="1">
      <alignment shrinkToFit="0" vertical="bottom" wrapText="0"/>
    </xf>
    <xf borderId="5" fillId="4" fontId="1" numFmtId="165" xfId="0" applyAlignment="1" applyBorder="1" applyFont="1" applyNumberFormat="1">
      <alignment shrinkToFit="0" vertical="bottom" wrapText="0"/>
    </xf>
    <xf borderId="4" fillId="3" fontId="4" numFmtId="164" xfId="0" applyAlignment="1" applyBorder="1" applyFont="1" applyNumberFormat="1">
      <alignment shrinkToFit="0" vertical="bottom" wrapText="0"/>
    </xf>
    <xf borderId="5" fillId="0" fontId="11" numFmtId="0" xfId="0" applyAlignment="1" applyBorder="1" applyFont="1">
      <alignment shrinkToFit="0" vertical="bottom" wrapText="0"/>
    </xf>
    <xf borderId="5" fillId="0" fontId="12" numFmtId="166" xfId="0" applyAlignment="1" applyBorder="1" applyFont="1" applyNumberFormat="1">
      <alignment shrinkToFit="0" vertical="bottom" wrapText="0"/>
    </xf>
    <xf borderId="4" fillId="0" fontId="11" numFmtId="0" xfId="0" applyAlignment="1" applyBorder="1" applyFont="1">
      <alignment shrinkToFit="0" vertical="bottom" wrapText="0"/>
    </xf>
    <xf borderId="1" fillId="21" fontId="6" numFmtId="0" xfId="0" applyAlignment="1" applyBorder="1" applyFill="1" applyFont="1">
      <alignment horizontal="center" shrinkToFit="0" vertical="center" wrapText="1"/>
    </xf>
    <xf borderId="4" fillId="0" fontId="8" numFmtId="164" xfId="0" applyAlignment="1" applyBorder="1" applyFont="1" applyNumberFormat="1">
      <alignment readingOrder="0" shrinkToFit="0" vertical="bottom" wrapText="0"/>
    </xf>
    <xf borderId="5" fillId="21" fontId="11" numFmtId="0" xfId="0" applyAlignment="1" applyBorder="1" applyFont="1">
      <alignment shrinkToFit="0" vertical="bottom" wrapText="0"/>
    </xf>
    <xf borderId="5" fillId="21" fontId="12" numFmtId="164" xfId="0" applyAlignment="1" applyBorder="1" applyFont="1" applyNumberFormat="1">
      <alignment shrinkToFit="0" vertical="bottom" wrapText="0"/>
    </xf>
    <xf borderId="5" fillId="9" fontId="6" numFmtId="0" xfId="0" applyAlignment="1" applyBorder="1" applyFont="1">
      <alignment shrinkToFit="0" vertical="bottom" wrapText="0"/>
    </xf>
    <xf borderId="5" fillId="9" fontId="6" numFmtId="167" xfId="0" applyAlignment="1" applyBorder="1" applyFont="1" applyNumberFormat="1">
      <alignment shrinkToFit="0" vertical="bottom" wrapText="0"/>
    </xf>
    <xf borderId="1" fillId="22" fontId="1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bottom" wrapText="0"/>
    </xf>
    <xf borderId="0" fillId="0" fontId="7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Evolución del Patrimonio Total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38100">
              <a:solidFill>
                <a:srgbClr val="426FA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'Gráficos'!$B$12</c:f>
              <c:numCache/>
            </c:numRef>
          </c:val>
          <c:smooth val="1"/>
        </c:ser>
        <c:ser>
          <c:idx val="1"/>
          <c:order val="1"/>
          <c:spPr>
            <a:ln cmpd="sng" w="38100">
              <a:solidFill>
                <a:srgbClr val="AA433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'Gráficos'!$C$12</c:f>
              <c:numCache/>
            </c:numRef>
          </c:val>
          <c:smooth val="1"/>
        </c:ser>
        <c:ser>
          <c:idx val="2"/>
          <c:order val="2"/>
          <c:spPr>
            <a:ln cmpd="sng" w="38100">
              <a:solidFill>
                <a:srgbClr val="87A44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'Gráficos'!$D$12</c:f>
              <c:numCache/>
            </c:numRef>
          </c:val>
          <c:smooth val="1"/>
        </c:ser>
        <c:ser>
          <c:idx val="3"/>
          <c:order val="3"/>
          <c:spPr>
            <a:ln cmpd="sng" w="38100">
              <a:solidFill>
                <a:srgbClr val="6F568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'Gráficos'!$E$12</c:f>
              <c:numCache/>
            </c:numRef>
          </c:val>
          <c:smooth val="1"/>
        </c:ser>
        <c:ser>
          <c:idx val="4"/>
          <c:order val="4"/>
          <c:spPr>
            <a:ln cmpd="sng" w="38100">
              <a:solidFill>
                <a:srgbClr val="3D97A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'Gráficos'!$F$12</c:f>
              <c:numCache/>
            </c:numRef>
          </c:val>
          <c:smooth val="1"/>
        </c:ser>
        <c:ser>
          <c:idx val="5"/>
          <c:order val="5"/>
          <c:spPr>
            <a:ln cmpd="sng" w="38100">
              <a:solidFill>
                <a:srgbClr val="DB823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'Gráficos'!$G$12</c:f>
              <c:numCache/>
            </c:numRef>
          </c:val>
          <c:smooth val="1"/>
        </c:ser>
        <c:ser>
          <c:idx val="6"/>
          <c:order val="6"/>
          <c:spPr>
            <a:ln cmpd="sng" w="38100">
              <a:solidFill>
                <a:srgbClr val="8EA5C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'Gráficos'!$H$12</c:f>
              <c:numCache/>
            </c:numRef>
          </c:val>
          <c:smooth val="1"/>
        </c:ser>
        <c:ser>
          <c:idx val="7"/>
          <c:order val="7"/>
          <c:spPr>
            <a:ln cmpd="sng" w="38100">
              <a:solidFill>
                <a:srgbClr val="CC8F8E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'Gráficos'!$I$12</c:f>
              <c:numCache/>
            </c:numRef>
          </c:val>
          <c:smooth val="1"/>
        </c:ser>
        <c:ser>
          <c:idx val="8"/>
          <c:order val="8"/>
          <c:spPr>
            <a:ln cmpd="sng" w="38100">
              <a:solidFill>
                <a:srgbClr val="B3C99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'Gráficos'!$J$12</c:f>
              <c:numCache/>
            </c:numRef>
          </c:val>
          <c:smooth val="1"/>
        </c:ser>
        <c:ser>
          <c:idx val="9"/>
          <c:order val="9"/>
          <c:spPr>
            <a:ln cmpd="sng" w="38100">
              <a:solidFill>
                <a:srgbClr val="A596B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'Gráficos'!$K$12</c:f>
              <c:numCache/>
            </c:numRef>
          </c:val>
          <c:smooth val="1"/>
        </c:ser>
        <c:ser>
          <c:idx val="10"/>
          <c:order val="10"/>
          <c:spPr>
            <a:ln cmpd="sng" w="38100">
              <a:solidFill>
                <a:srgbClr val="8CBFD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'Gráficos'!$L$12</c:f>
              <c:numCache/>
            </c:numRef>
          </c:val>
          <c:smooth val="1"/>
        </c:ser>
        <c:ser>
          <c:idx val="11"/>
          <c:order val="11"/>
          <c:spPr>
            <a:ln cmpd="sng" w="38100">
              <a:solidFill>
                <a:srgbClr val="F5B08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'Gráficos'!$M$12</c:f>
              <c:numCache/>
            </c:numRef>
          </c:val>
          <c:smooth val="1"/>
        </c:ser>
        <c:axId val="189433743"/>
        <c:axId val="1359136300"/>
      </c:lineChart>
      <c:catAx>
        <c:axId val="189433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59136300"/>
      </c:catAx>
      <c:valAx>
        <c:axId val="13591363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Euros (€)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943374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Evolución Cuenta Conjunta (Hucha Piso)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38100">
              <a:solidFill>
                <a:srgbClr val="80323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'Gráficos'!$B$11</c:f>
              <c:numCache/>
            </c:numRef>
          </c:val>
          <c:smooth val="1"/>
        </c:ser>
        <c:ser>
          <c:idx val="1"/>
          <c:order val="1"/>
          <c:spPr>
            <a:ln cmpd="sng" w="38100">
              <a:solidFill>
                <a:srgbClr val="8D373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'Gráficos'!$C$11</c:f>
              <c:numCache/>
            </c:numRef>
          </c:val>
          <c:smooth val="1"/>
        </c:ser>
        <c:ser>
          <c:idx val="2"/>
          <c:order val="2"/>
          <c:spPr>
            <a:ln cmpd="sng" w="38100">
              <a:solidFill>
                <a:srgbClr val="9A3D3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'Gráficos'!$D$11</c:f>
              <c:numCache/>
            </c:numRef>
          </c:val>
          <c:smooth val="1"/>
        </c:ser>
        <c:ser>
          <c:idx val="3"/>
          <c:order val="3"/>
          <c:spPr>
            <a:ln cmpd="sng" w="38100">
              <a:solidFill>
                <a:srgbClr val="A5413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'Gráficos'!$E$11</c:f>
              <c:numCache/>
            </c:numRef>
          </c:val>
          <c:smooth val="1"/>
        </c:ser>
        <c:ser>
          <c:idx val="4"/>
          <c:order val="4"/>
          <c:spPr>
            <a:ln cmpd="sng" w="38100">
              <a:solidFill>
                <a:srgbClr val="B0464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'Gráficos'!$F$11</c:f>
              <c:numCache/>
            </c:numRef>
          </c:val>
          <c:smooth val="1"/>
        </c:ser>
        <c:ser>
          <c:idx val="5"/>
          <c:order val="5"/>
          <c:spPr>
            <a:ln cmpd="sng" w="38100">
              <a:solidFill>
                <a:srgbClr val="B9494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'Gráficos'!$G$11</c:f>
              <c:numCache/>
            </c:numRef>
          </c:val>
          <c:smooth val="1"/>
        </c:ser>
        <c:ser>
          <c:idx val="6"/>
          <c:order val="6"/>
          <c:spPr>
            <a:ln cmpd="sng" w="38100">
              <a:solidFill>
                <a:srgbClr val="C1605E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'Gráficos'!$H$11</c:f>
              <c:numCache/>
            </c:numRef>
          </c:val>
          <c:smooth val="1"/>
        </c:ser>
        <c:ser>
          <c:idx val="7"/>
          <c:order val="7"/>
          <c:spPr>
            <a:ln cmpd="sng" w="38100">
              <a:solidFill>
                <a:srgbClr val="C87E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'Gráficos'!$I$11</c:f>
              <c:numCache/>
            </c:numRef>
          </c:val>
          <c:smooth val="1"/>
        </c:ser>
        <c:ser>
          <c:idx val="8"/>
          <c:order val="8"/>
          <c:spPr>
            <a:ln cmpd="sng" w="38100">
              <a:solidFill>
                <a:srgbClr val="CF969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'Gráficos'!$J$11</c:f>
              <c:numCache/>
            </c:numRef>
          </c:val>
          <c:smooth val="1"/>
        </c:ser>
        <c:ser>
          <c:idx val="9"/>
          <c:order val="9"/>
          <c:spPr>
            <a:ln cmpd="sng" w="38100">
              <a:solidFill>
                <a:srgbClr val="D6A9A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'Gráficos'!$K$11</c:f>
              <c:numCache/>
            </c:numRef>
          </c:val>
          <c:smooth val="1"/>
        </c:ser>
        <c:ser>
          <c:idx val="10"/>
          <c:order val="10"/>
          <c:spPr>
            <a:ln cmpd="sng" w="38100">
              <a:solidFill>
                <a:srgbClr val="DDB9B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'Gráficos'!$L$11</c:f>
              <c:numCache/>
            </c:numRef>
          </c:val>
          <c:smooth val="1"/>
        </c:ser>
        <c:ser>
          <c:idx val="11"/>
          <c:order val="11"/>
          <c:spPr>
            <a:ln cmpd="sng" w="38100">
              <a:solidFill>
                <a:srgbClr val="E2C9C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'Gráficos'!$B$4:$M$4</c:f>
            </c:strRef>
          </c:cat>
          <c:val>
            <c:numRef>
              <c:f>'Gráficos'!$M$11</c:f>
              <c:numCache/>
            </c:numRef>
          </c:val>
          <c:smooth val="1"/>
        </c:ser>
        <c:axId val="1078993514"/>
        <c:axId val="922897518"/>
      </c:lineChart>
      <c:catAx>
        <c:axId val="1078993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22897518"/>
      </c:catAx>
      <c:valAx>
        <c:axId val="922897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Euros (€)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7899351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Ingresos vs Gastos Mensuales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E6595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'Gráficos'!$C$4</c:f>
              <c:numCache/>
            </c:numRef>
          </c:val>
        </c:ser>
        <c:ser>
          <c:idx val="1"/>
          <c:order val="1"/>
          <c:spPr>
            <a:solidFill>
              <a:srgbClr val="973F3C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'Gráficos'!$D$4</c:f>
              <c:numCache/>
            </c:numRef>
          </c:val>
        </c:ser>
        <c:ser>
          <c:idx val="2"/>
          <c:order val="2"/>
          <c:spPr>
            <a:solidFill>
              <a:srgbClr val="7A9346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'Gráficos'!$E$4</c:f>
              <c:numCache/>
            </c:numRef>
          </c:val>
        </c:ser>
        <c:ser>
          <c:idx val="3"/>
          <c:order val="3"/>
          <c:spPr>
            <a:solidFill>
              <a:srgbClr val="654E7F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'Gráficos'!$F$4</c:f>
              <c:numCache/>
            </c:numRef>
          </c:val>
        </c:ser>
        <c:ser>
          <c:idx val="4"/>
          <c:order val="4"/>
          <c:spPr>
            <a:solidFill>
              <a:srgbClr val="3B879C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'Gráficos'!$G$4</c:f>
              <c:numCache/>
            </c:numRef>
          </c:val>
        </c:ser>
        <c:ser>
          <c:idx val="5"/>
          <c:order val="5"/>
          <c:spPr>
            <a:solidFill>
              <a:srgbClr val="C27637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'Gráficos'!$H$4</c:f>
              <c:numCache/>
            </c:numRef>
          </c:val>
        </c:ser>
        <c:ser>
          <c:idx val="6"/>
          <c:order val="6"/>
          <c:spPr>
            <a:solidFill>
              <a:srgbClr val="4978B1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'Gráficos'!$I$4</c:f>
              <c:numCache/>
            </c:numRef>
          </c:val>
        </c:ser>
        <c:ser>
          <c:idx val="7"/>
          <c:order val="7"/>
          <c:spPr>
            <a:solidFill>
              <a:srgbClr val="B34A48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'Gráficos'!$J$4</c:f>
              <c:numCache/>
            </c:numRef>
          </c:val>
        </c:ser>
        <c:ser>
          <c:idx val="8"/>
          <c:order val="8"/>
          <c:spPr>
            <a:solidFill>
              <a:srgbClr val="91AF53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'Gráficos'!$K$4</c:f>
              <c:numCache/>
            </c:numRef>
          </c:val>
        </c:ser>
        <c:ser>
          <c:idx val="9"/>
          <c:order val="9"/>
          <c:spPr>
            <a:solidFill>
              <a:srgbClr val="775D97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'Gráficos'!$L$4</c:f>
              <c:numCache/>
            </c:numRef>
          </c:val>
        </c:ser>
        <c:ser>
          <c:idx val="10"/>
          <c:order val="10"/>
          <c:spPr>
            <a:solidFill>
              <a:srgbClr val="46A1B9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'Gráficos'!$M$4</c:f>
              <c:numCache/>
            </c:numRef>
          </c:val>
        </c:ser>
        <c:ser>
          <c:idx val="11"/>
          <c:order val="11"/>
          <c:spPr>
            <a:solidFill>
              <a:srgbClr val="E78C41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'Gráficos'!$B$5:$B$6</c:f>
              <c:numCache/>
            </c:numRef>
          </c:val>
        </c:ser>
        <c:ser>
          <c:idx val="12"/>
          <c:order val="12"/>
          <c:spPr>
            <a:solidFill>
              <a:srgbClr val="7E9BC7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'Gráficos'!$C$5:$C$6</c:f>
              <c:numCache/>
            </c:numRef>
          </c:val>
        </c:ser>
        <c:ser>
          <c:idx val="13"/>
          <c:order val="13"/>
          <c:spPr>
            <a:solidFill>
              <a:srgbClr val="CA7E7D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'Gráficos'!$D$5:$D$6</c:f>
              <c:numCache/>
            </c:numRef>
          </c:val>
        </c:ser>
        <c:ser>
          <c:idx val="14"/>
          <c:order val="14"/>
          <c:spPr>
            <a:solidFill>
              <a:srgbClr val="ADC683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'Gráficos'!$E$5:$E$6</c:f>
              <c:numCache/>
            </c:numRef>
          </c:val>
        </c:ser>
        <c:ser>
          <c:idx val="15"/>
          <c:order val="15"/>
          <c:spPr>
            <a:solidFill>
              <a:srgbClr val="9A89B2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'Gráficos'!$F$5:$F$6</c:f>
              <c:numCache/>
            </c:numRef>
          </c:val>
        </c:ser>
        <c:ser>
          <c:idx val="16"/>
          <c:order val="16"/>
          <c:spPr>
            <a:solidFill>
              <a:srgbClr val="7CBACF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'Gráficos'!$G$5:$G$6</c:f>
              <c:numCache/>
            </c:numRef>
          </c:val>
        </c:ser>
        <c:ser>
          <c:idx val="17"/>
          <c:order val="17"/>
          <c:spPr>
            <a:solidFill>
              <a:srgbClr val="F8AA7A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'Gráficos'!$H$5:$H$6</c:f>
              <c:numCache/>
            </c:numRef>
          </c:val>
        </c:ser>
        <c:ser>
          <c:idx val="18"/>
          <c:order val="18"/>
          <c:spPr>
            <a:solidFill>
              <a:srgbClr val="B5C3DB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'Gráficos'!$I$5:$I$6</c:f>
              <c:numCache/>
            </c:numRef>
          </c:val>
        </c:ser>
        <c:ser>
          <c:idx val="19"/>
          <c:order val="19"/>
          <c:spPr>
            <a:solidFill>
              <a:srgbClr val="DDB5B5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'Gráficos'!$J$5:$J$6</c:f>
              <c:numCache/>
            </c:numRef>
          </c:val>
        </c:ser>
        <c:ser>
          <c:idx val="20"/>
          <c:order val="20"/>
          <c:spPr>
            <a:solidFill>
              <a:srgbClr val="CCDAB7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'Gráficos'!$K$5:$K$6</c:f>
              <c:numCache/>
            </c:numRef>
          </c:val>
        </c:ser>
        <c:ser>
          <c:idx val="21"/>
          <c:order val="21"/>
          <c:spPr>
            <a:solidFill>
              <a:srgbClr val="C2BACF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'Gráficos'!$L$5:$L$6</c:f>
              <c:numCache/>
            </c:numRef>
          </c:val>
        </c:ser>
        <c:ser>
          <c:idx val="22"/>
          <c:order val="22"/>
          <c:spPr>
            <a:solidFill>
              <a:srgbClr val="B5D4E0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'Gráficos'!$M$5:$M$6</c:f>
              <c:numCache/>
            </c:numRef>
          </c:val>
        </c:ser>
        <c:ser>
          <c:idx val="23"/>
          <c:order val="23"/>
          <c:spPr>
            <a:solidFill>
              <a:srgbClr val="FACAB4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'Gráficos'!$B$7:$B$8</c:f>
              <c:numCache/>
            </c:numRef>
          </c:val>
        </c:ser>
        <c:ser>
          <c:idx val="24"/>
          <c:order val="24"/>
          <c:cat>
            <c:strRef>
              <c:f>'Gráficos'!$B$4</c:f>
            </c:strRef>
          </c:cat>
          <c:val>
            <c:numRef>
              <c:f>'Gráficos'!$C$7:$C$8</c:f>
              <c:numCache/>
            </c:numRef>
          </c:val>
        </c:ser>
        <c:ser>
          <c:idx val="25"/>
          <c:order val="25"/>
          <c:cat>
            <c:strRef>
              <c:f>'Gráficos'!$B$4</c:f>
            </c:strRef>
          </c:cat>
          <c:val>
            <c:numRef>
              <c:f>'Gráficos'!$D$7:$D$8</c:f>
              <c:numCache/>
            </c:numRef>
          </c:val>
        </c:ser>
        <c:ser>
          <c:idx val="26"/>
          <c:order val="26"/>
          <c:cat>
            <c:strRef>
              <c:f>'Gráficos'!$B$4</c:f>
            </c:strRef>
          </c:cat>
          <c:val>
            <c:numRef>
              <c:f>'Gráficos'!$E$7:$E$8</c:f>
              <c:numCache/>
            </c:numRef>
          </c:val>
        </c:ser>
        <c:ser>
          <c:idx val="27"/>
          <c:order val="27"/>
          <c:cat>
            <c:strRef>
              <c:f>'Gráficos'!$B$4</c:f>
            </c:strRef>
          </c:cat>
          <c:val>
            <c:numRef>
              <c:f>'Gráficos'!$F$7:$F$8</c:f>
              <c:numCache/>
            </c:numRef>
          </c:val>
        </c:ser>
        <c:ser>
          <c:idx val="28"/>
          <c:order val="28"/>
          <c:cat>
            <c:strRef>
              <c:f>'Gráficos'!$B$4</c:f>
            </c:strRef>
          </c:cat>
          <c:val>
            <c:numRef>
              <c:f>'Gráficos'!$G$7:$G$8</c:f>
              <c:numCache/>
            </c:numRef>
          </c:val>
        </c:ser>
        <c:ser>
          <c:idx val="29"/>
          <c:order val="29"/>
          <c:cat>
            <c:strRef>
              <c:f>'Gráficos'!$B$4</c:f>
            </c:strRef>
          </c:cat>
          <c:val>
            <c:numRef>
              <c:f>'Gráficos'!$H$7:$H$8</c:f>
              <c:numCache/>
            </c:numRef>
          </c:val>
        </c:ser>
        <c:ser>
          <c:idx val="30"/>
          <c:order val="30"/>
          <c:cat>
            <c:strRef>
              <c:f>'Gráficos'!$B$4</c:f>
            </c:strRef>
          </c:cat>
          <c:val>
            <c:numRef>
              <c:f>'Gráficos'!$I$7:$I$8</c:f>
              <c:numCache/>
            </c:numRef>
          </c:val>
        </c:ser>
        <c:ser>
          <c:idx val="31"/>
          <c:order val="31"/>
          <c:cat>
            <c:strRef>
              <c:f>'Gráficos'!$B$4</c:f>
            </c:strRef>
          </c:cat>
          <c:val>
            <c:numRef>
              <c:f>'Gráficos'!$J$7:$J$8</c:f>
              <c:numCache/>
            </c:numRef>
          </c:val>
        </c:ser>
        <c:ser>
          <c:idx val="32"/>
          <c:order val="32"/>
          <c:cat>
            <c:strRef>
              <c:f>'Gráficos'!$B$4</c:f>
            </c:strRef>
          </c:cat>
          <c:val>
            <c:numRef>
              <c:f>'Gráficos'!$K$7:$K$8</c:f>
              <c:numCache/>
            </c:numRef>
          </c:val>
        </c:ser>
        <c:ser>
          <c:idx val="33"/>
          <c:order val="33"/>
          <c:cat>
            <c:strRef>
              <c:f>'Gráficos'!$B$4</c:f>
            </c:strRef>
          </c:cat>
          <c:val>
            <c:numRef>
              <c:f>'Gráficos'!$L$7:$L$8</c:f>
              <c:numCache/>
            </c:numRef>
          </c:val>
        </c:ser>
        <c:ser>
          <c:idx val="34"/>
          <c:order val="34"/>
          <c:cat>
            <c:strRef>
              <c:f>'Gráficos'!$B$4</c:f>
            </c:strRef>
          </c:cat>
          <c:val>
            <c:numRef>
              <c:f>'Gráficos'!$M$7:$M$8</c:f>
              <c:numCache/>
            </c:numRef>
          </c:val>
        </c:ser>
        <c:axId val="1964743287"/>
        <c:axId val="574662360"/>
      </c:barChart>
      <c:catAx>
        <c:axId val="1964743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74662360"/>
      </c:catAx>
      <c:valAx>
        <c:axId val="574662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Euros (€)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6474328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Aportaciones Mensuales a Cuenta Conjunta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4672A8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'Gráficos'!$C$4</c:f>
              <c:numCache/>
            </c:numRef>
          </c:val>
        </c:ser>
        <c:ser>
          <c:idx val="1"/>
          <c:order val="1"/>
          <c:spPr>
            <a:solidFill>
              <a:srgbClr val="AB4744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'Gráficos'!$D$4</c:f>
              <c:numCache/>
            </c:numRef>
          </c:val>
        </c:ser>
        <c:ser>
          <c:idx val="2"/>
          <c:order val="2"/>
          <c:spPr>
            <a:solidFill>
              <a:srgbClr val="8AA64F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'Gráficos'!$E$4</c:f>
              <c:numCache/>
            </c:numRef>
          </c:val>
        </c:ser>
        <c:ser>
          <c:idx val="3"/>
          <c:order val="3"/>
          <c:spPr>
            <a:solidFill>
              <a:srgbClr val="725990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'Gráficos'!$F$4</c:f>
              <c:numCache/>
            </c:numRef>
          </c:val>
        </c:ser>
        <c:ser>
          <c:idx val="4"/>
          <c:order val="4"/>
          <c:spPr>
            <a:solidFill>
              <a:srgbClr val="4299B0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'Gráficos'!$G$4</c:f>
              <c:numCache/>
            </c:numRef>
          </c:val>
        </c:ser>
        <c:ser>
          <c:idx val="5"/>
          <c:order val="5"/>
          <c:spPr>
            <a:solidFill>
              <a:srgbClr val="DC853E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'Gráficos'!$H$4</c:f>
              <c:numCache/>
            </c:numRef>
          </c:val>
        </c:ser>
        <c:ser>
          <c:idx val="6"/>
          <c:order val="6"/>
          <c:spPr>
            <a:solidFill>
              <a:srgbClr val="93A9CE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'Gráficos'!$I$4</c:f>
              <c:numCache/>
            </c:numRef>
          </c:val>
        </c:ser>
        <c:ser>
          <c:idx val="7"/>
          <c:order val="7"/>
          <c:spPr>
            <a:solidFill>
              <a:srgbClr val="D09493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'Gráficos'!$J$4</c:f>
              <c:numCache/>
            </c:numRef>
          </c:val>
        </c:ser>
        <c:ser>
          <c:idx val="8"/>
          <c:order val="8"/>
          <c:spPr>
            <a:solidFill>
              <a:srgbClr val="B8CD97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'Gráficos'!$K$4</c:f>
              <c:numCache/>
            </c:numRef>
          </c:val>
        </c:ser>
        <c:ser>
          <c:idx val="9"/>
          <c:order val="9"/>
          <c:spPr>
            <a:solidFill>
              <a:srgbClr val="A99BBD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'Gráficos'!$L$4</c:f>
              <c:numCache/>
            </c:numRef>
          </c:val>
        </c:ser>
        <c:ser>
          <c:idx val="10"/>
          <c:order val="10"/>
          <c:spPr>
            <a:solidFill>
              <a:srgbClr val="92C3D5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'Gráficos'!$M$4</c:f>
              <c:numCache/>
            </c:numRef>
          </c:val>
        </c:ser>
        <c:ser>
          <c:idx val="11"/>
          <c:order val="11"/>
          <c:spPr>
            <a:solidFill>
              <a:srgbClr val="F8B590"/>
            </a:solidFill>
            <a:ln cmpd="sng">
              <a:solidFill>
                <a:srgbClr val="000000"/>
              </a:solidFill>
            </a:ln>
          </c:spPr>
          <c:cat>
            <c:strRef>
              <c:f>'Gráficos'!$B$4</c:f>
            </c:strRef>
          </c:cat>
          <c:val>
            <c:numRef>
              <c:f>'Gráficos'!$B$9:$B$10</c:f>
              <c:numCache/>
            </c:numRef>
          </c:val>
        </c:ser>
        <c:ser>
          <c:idx val="12"/>
          <c:order val="12"/>
          <c:cat>
            <c:strRef>
              <c:f>'Gráficos'!$B$4</c:f>
            </c:strRef>
          </c:cat>
          <c:val>
            <c:numRef>
              <c:f>'Gráficos'!$C$9:$C$10</c:f>
              <c:numCache/>
            </c:numRef>
          </c:val>
        </c:ser>
        <c:ser>
          <c:idx val="13"/>
          <c:order val="13"/>
          <c:cat>
            <c:strRef>
              <c:f>'Gráficos'!$B$4</c:f>
            </c:strRef>
          </c:cat>
          <c:val>
            <c:numRef>
              <c:f>'Gráficos'!$D$9:$D$10</c:f>
              <c:numCache/>
            </c:numRef>
          </c:val>
        </c:ser>
        <c:ser>
          <c:idx val="14"/>
          <c:order val="14"/>
          <c:cat>
            <c:strRef>
              <c:f>'Gráficos'!$B$4</c:f>
            </c:strRef>
          </c:cat>
          <c:val>
            <c:numRef>
              <c:f>'Gráficos'!$E$9:$E$10</c:f>
              <c:numCache/>
            </c:numRef>
          </c:val>
        </c:ser>
        <c:ser>
          <c:idx val="15"/>
          <c:order val="15"/>
          <c:cat>
            <c:strRef>
              <c:f>'Gráficos'!$B$4</c:f>
            </c:strRef>
          </c:cat>
          <c:val>
            <c:numRef>
              <c:f>'Gráficos'!$F$9:$F$10</c:f>
              <c:numCache/>
            </c:numRef>
          </c:val>
        </c:ser>
        <c:ser>
          <c:idx val="16"/>
          <c:order val="16"/>
          <c:cat>
            <c:strRef>
              <c:f>'Gráficos'!$B$4</c:f>
            </c:strRef>
          </c:cat>
          <c:val>
            <c:numRef>
              <c:f>'Gráficos'!$G$9:$G$10</c:f>
              <c:numCache/>
            </c:numRef>
          </c:val>
        </c:ser>
        <c:ser>
          <c:idx val="17"/>
          <c:order val="17"/>
          <c:cat>
            <c:strRef>
              <c:f>'Gráficos'!$B$4</c:f>
            </c:strRef>
          </c:cat>
          <c:val>
            <c:numRef>
              <c:f>'Gráficos'!$H$9:$H$10</c:f>
              <c:numCache/>
            </c:numRef>
          </c:val>
        </c:ser>
        <c:ser>
          <c:idx val="18"/>
          <c:order val="18"/>
          <c:cat>
            <c:strRef>
              <c:f>'Gráficos'!$B$4</c:f>
            </c:strRef>
          </c:cat>
          <c:val>
            <c:numRef>
              <c:f>'Gráficos'!$I$9:$I$10</c:f>
              <c:numCache/>
            </c:numRef>
          </c:val>
        </c:ser>
        <c:ser>
          <c:idx val="19"/>
          <c:order val="19"/>
          <c:cat>
            <c:strRef>
              <c:f>'Gráficos'!$B$4</c:f>
            </c:strRef>
          </c:cat>
          <c:val>
            <c:numRef>
              <c:f>'Gráficos'!$J$9:$J$10</c:f>
              <c:numCache/>
            </c:numRef>
          </c:val>
        </c:ser>
        <c:ser>
          <c:idx val="20"/>
          <c:order val="20"/>
          <c:cat>
            <c:strRef>
              <c:f>'Gráficos'!$B$4</c:f>
            </c:strRef>
          </c:cat>
          <c:val>
            <c:numRef>
              <c:f>'Gráficos'!$K$9:$K$10</c:f>
              <c:numCache/>
            </c:numRef>
          </c:val>
        </c:ser>
        <c:ser>
          <c:idx val="21"/>
          <c:order val="21"/>
          <c:cat>
            <c:strRef>
              <c:f>'Gráficos'!$B$4</c:f>
            </c:strRef>
          </c:cat>
          <c:val>
            <c:numRef>
              <c:f>'Gráficos'!$L$9:$L$10</c:f>
              <c:numCache/>
            </c:numRef>
          </c:val>
        </c:ser>
        <c:ser>
          <c:idx val="22"/>
          <c:order val="22"/>
          <c:cat>
            <c:strRef>
              <c:f>'Gráficos'!$B$4</c:f>
            </c:strRef>
          </c:cat>
          <c:val>
            <c:numRef>
              <c:f>'Gráficos'!$M$9:$M$10</c:f>
              <c:numCache/>
            </c:numRef>
          </c:val>
        </c:ser>
        <c:overlap val="100"/>
        <c:axId val="2000478327"/>
        <c:axId val="1432054076"/>
      </c:barChart>
      <c:catAx>
        <c:axId val="2000478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32054076"/>
      </c:catAx>
      <c:valAx>
        <c:axId val="1432054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Euros (€)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0047832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Aportación Total al Piso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'Gráficos'!$A$15:$A$16</c:f>
            </c:strRef>
          </c:cat>
          <c:val>
            <c:numRef>
              <c:f>'Gráficos'!$B$15:$B$16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Ingresos: Físico vs Digital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'Gráficos'!$A$19:$A$20</c:f>
            </c:strRef>
          </c:cat>
          <c:val>
            <c:numRef>
              <c:f>'Gráficos'!$B$19:$B$20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Progreso hacia Meta de Ahorro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'Gráficos'!$A$24:$A$25</c:f>
            </c:strRef>
          </c:cat>
          <c:val>
            <c:numRef>
              <c:f>'Gráficos'!$B$24:$B$25</c:f>
              <c:numCache/>
            </c:numRef>
          </c:val>
        </c:ser>
        <c:overlap val="100"/>
        <c:axId val="1573533594"/>
        <c:axId val="408635554"/>
      </c:barChart>
      <c:catAx>
        <c:axId val="15735335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08635554"/>
      </c:catAx>
      <c:valAx>
        <c:axId val="4086355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73533594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152400</xdr:rowOff>
    </xdr:from>
    <xdr:ext cx="5143500" cy="3781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42</xdr:row>
      <xdr:rowOff>152400</xdr:rowOff>
    </xdr:from>
    <xdr:ext cx="5143500" cy="37814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0</xdr:colOff>
      <xdr:row>26</xdr:row>
      <xdr:rowOff>152400</xdr:rowOff>
    </xdr:from>
    <xdr:ext cx="5153025" cy="3781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0</xdr:colOff>
      <xdr:row>42</xdr:row>
      <xdr:rowOff>152400</xdr:rowOff>
    </xdr:from>
    <xdr:ext cx="5153025" cy="37814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30</xdr:col>
      <xdr:colOff>0</xdr:colOff>
      <xdr:row>26</xdr:row>
      <xdr:rowOff>152400</xdr:rowOff>
    </xdr:from>
    <xdr:ext cx="3438525" cy="30194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30</xdr:col>
      <xdr:colOff>0</xdr:colOff>
      <xdr:row>42</xdr:row>
      <xdr:rowOff>152400</xdr:rowOff>
    </xdr:from>
    <xdr:ext cx="3438525" cy="30194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58</xdr:row>
      <xdr:rowOff>152400</xdr:rowOff>
    </xdr:from>
    <xdr:ext cx="4105275" cy="22764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8.0"/>
    <col customWidth="1" min="3" max="3" width="5.71"/>
    <col customWidth="1" min="4" max="15" width="8.0"/>
    <col customWidth="1" min="16" max="16" width="10.0"/>
    <col customWidth="1" min="17" max="26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3">
      <c r="A3" s="4" t="s">
        <v>1</v>
      </c>
      <c r="B3" s="5">
        <v>2026.0</v>
      </c>
      <c r="D3" s="6" t="s">
        <v>2</v>
      </c>
    </row>
    <row r="5" ht="15.0" customHeight="1">
      <c r="A5" s="7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8" t="s">
        <v>15</v>
      </c>
      <c r="M6" s="8" t="s">
        <v>16</v>
      </c>
      <c r="N6" s="8" t="s">
        <v>17</v>
      </c>
      <c r="O6" s="8" t="s">
        <v>18</v>
      </c>
      <c r="P6" s="8" t="s">
        <v>19</v>
      </c>
    </row>
    <row r="7">
      <c r="A7" s="9" t="s">
        <v>20</v>
      </c>
      <c r="B7" s="10" t="s">
        <v>21</v>
      </c>
      <c r="C7" s="11" t="s">
        <v>22</v>
      </c>
      <c r="D7" s="12">
        <v>0.0</v>
      </c>
      <c r="E7" s="12">
        <v>0.0</v>
      </c>
      <c r="F7" s="12">
        <v>0.0</v>
      </c>
      <c r="G7" s="12">
        <v>0.0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0.0</v>
      </c>
      <c r="O7" s="12">
        <v>0.0</v>
      </c>
      <c r="P7" s="13">
        <f t="shared" ref="P7:P16" si="1">SUM(D7:O7)</f>
        <v>0</v>
      </c>
    </row>
    <row r="8">
      <c r="A8" s="9"/>
      <c r="B8" s="9"/>
      <c r="C8" s="14" t="s">
        <v>23</v>
      </c>
      <c r="D8" s="15">
        <v>49.0</v>
      </c>
      <c r="E8" s="16">
        <v>0.0</v>
      </c>
      <c r="F8" s="16">
        <v>0.0</v>
      </c>
      <c r="G8" s="16">
        <v>0.0</v>
      </c>
      <c r="H8" s="16">
        <v>0.0</v>
      </c>
      <c r="I8" s="16">
        <v>0.0</v>
      </c>
      <c r="J8" s="16">
        <v>0.0</v>
      </c>
      <c r="K8" s="16">
        <v>0.0</v>
      </c>
      <c r="L8" s="16">
        <v>0.0</v>
      </c>
      <c r="M8" s="16">
        <v>0.0</v>
      </c>
      <c r="N8" s="16">
        <v>0.0</v>
      </c>
      <c r="O8" s="16">
        <v>0.0</v>
      </c>
      <c r="P8" s="13">
        <f t="shared" si="1"/>
        <v>49</v>
      </c>
    </row>
    <row r="9">
      <c r="A9" s="9" t="s">
        <v>24</v>
      </c>
      <c r="B9" s="10" t="s">
        <v>21</v>
      </c>
      <c r="C9" s="11" t="s">
        <v>22</v>
      </c>
      <c r="D9" s="12">
        <v>0.0</v>
      </c>
      <c r="E9" s="12">
        <v>0.0</v>
      </c>
      <c r="F9" s="12">
        <v>0.0</v>
      </c>
      <c r="G9" s="12">
        <v>0.0</v>
      </c>
      <c r="H9" s="12">
        <v>0.0</v>
      </c>
      <c r="I9" s="12">
        <v>0.0</v>
      </c>
      <c r="J9" s="12">
        <v>0.0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3">
        <f t="shared" si="1"/>
        <v>0</v>
      </c>
    </row>
    <row r="10">
      <c r="A10" s="9"/>
      <c r="B10" s="9"/>
      <c r="C10" s="14" t="s">
        <v>23</v>
      </c>
      <c r="D10" s="16">
        <v>0.0</v>
      </c>
      <c r="E10" s="16">
        <v>0.0</v>
      </c>
      <c r="F10" s="16">
        <v>0.0</v>
      </c>
      <c r="G10" s="16">
        <v>0.0</v>
      </c>
      <c r="H10" s="16">
        <v>0.0</v>
      </c>
      <c r="I10" s="16">
        <v>0.0</v>
      </c>
      <c r="J10" s="16">
        <v>0.0</v>
      </c>
      <c r="K10" s="16">
        <v>0.0</v>
      </c>
      <c r="L10" s="16">
        <v>0.0</v>
      </c>
      <c r="M10" s="16">
        <v>0.0</v>
      </c>
      <c r="N10" s="16">
        <v>0.0</v>
      </c>
      <c r="O10" s="16">
        <v>0.0</v>
      </c>
      <c r="P10" s="13">
        <f t="shared" si="1"/>
        <v>0</v>
      </c>
    </row>
    <row r="11">
      <c r="A11" s="9" t="s">
        <v>25</v>
      </c>
      <c r="B11" s="10" t="s">
        <v>26</v>
      </c>
      <c r="C11" s="11" t="s">
        <v>22</v>
      </c>
      <c r="D11" s="12">
        <v>0.0</v>
      </c>
      <c r="E11" s="12">
        <v>0.0</v>
      </c>
      <c r="F11" s="12">
        <v>0.0</v>
      </c>
      <c r="G11" s="12">
        <v>0.0</v>
      </c>
      <c r="H11" s="12">
        <v>0.0</v>
      </c>
      <c r="I11" s="12">
        <v>0.0</v>
      </c>
      <c r="J11" s="12">
        <v>0.0</v>
      </c>
      <c r="K11" s="12">
        <v>0.0</v>
      </c>
      <c r="L11" s="12">
        <v>0.0</v>
      </c>
      <c r="M11" s="12">
        <v>0.0</v>
      </c>
      <c r="N11" s="12">
        <v>0.0</v>
      </c>
      <c r="O11" s="12">
        <v>0.0</v>
      </c>
      <c r="P11" s="13">
        <f t="shared" si="1"/>
        <v>0</v>
      </c>
    </row>
    <row r="12">
      <c r="A12" s="9"/>
      <c r="B12" s="9"/>
      <c r="C12" s="14" t="s">
        <v>23</v>
      </c>
      <c r="D12" s="16">
        <v>0.0</v>
      </c>
      <c r="E12" s="16">
        <v>0.0</v>
      </c>
      <c r="F12" s="16">
        <v>0.0</v>
      </c>
      <c r="G12" s="16">
        <v>0.0</v>
      </c>
      <c r="H12" s="16">
        <v>0.0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  <c r="N12" s="16">
        <v>0.0</v>
      </c>
      <c r="O12" s="16">
        <v>0.0</v>
      </c>
      <c r="P12" s="13">
        <f t="shared" si="1"/>
        <v>0</v>
      </c>
    </row>
    <row r="13">
      <c r="A13" s="9" t="s">
        <v>27</v>
      </c>
      <c r="B13" s="10" t="s">
        <v>26</v>
      </c>
      <c r="C13" s="11" t="s">
        <v>22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2">
        <v>0.0</v>
      </c>
      <c r="J13" s="12">
        <v>0.0</v>
      </c>
      <c r="K13" s="12">
        <v>0.0</v>
      </c>
      <c r="L13" s="12">
        <v>0.0</v>
      </c>
      <c r="M13" s="12">
        <v>0.0</v>
      </c>
      <c r="N13" s="12">
        <v>0.0</v>
      </c>
      <c r="O13" s="12">
        <v>0.0</v>
      </c>
      <c r="P13" s="13">
        <f t="shared" si="1"/>
        <v>0</v>
      </c>
    </row>
    <row r="14">
      <c r="A14" s="9"/>
      <c r="B14" s="9"/>
      <c r="C14" s="14" t="s">
        <v>23</v>
      </c>
      <c r="D14" s="16">
        <v>0.0</v>
      </c>
      <c r="E14" s="16">
        <v>0.0</v>
      </c>
      <c r="F14" s="16">
        <v>0.0</v>
      </c>
      <c r="G14" s="16">
        <v>0.0</v>
      </c>
      <c r="H14" s="16">
        <v>0.0</v>
      </c>
      <c r="I14" s="16">
        <v>0.0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13">
        <f t="shared" si="1"/>
        <v>0</v>
      </c>
    </row>
    <row r="15">
      <c r="A15" s="9" t="s">
        <v>28</v>
      </c>
      <c r="B15" s="10" t="s">
        <v>26</v>
      </c>
      <c r="C15" s="11" t="s">
        <v>22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3">
        <f t="shared" si="1"/>
        <v>0</v>
      </c>
    </row>
    <row r="16">
      <c r="A16" s="9"/>
      <c r="B16" s="9"/>
      <c r="C16" s="14" t="s">
        <v>23</v>
      </c>
      <c r="D16" s="16">
        <v>0.0</v>
      </c>
      <c r="E16" s="16">
        <v>0.0</v>
      </c>
      <c r="F16" s="16">
        <v>0.0</v>
      </c>
      <c r="G16" s="16">
        <v>0.0</v>
      </c>
      <c r="H16" s="16">
        <v>0.0</v>
      </c>
      <c r="I16" s="16">
        <v>0.0</v>
      </c>
      <c r="J16" s="16">
        <v>0.0</v>
      </c>
      <c r="K16" s="16">
        <v>0.0</v>
      </c>
      <c r="L16" s="16">
        <v>0.0</v>
      </c>
      <c r="M16" s="16">
        <v>0.0</v>
      </c>
      <c r="N16" s="16">
        <v>0.0</v>
      </c>
      <c r="O16" s="16">
        <v>0.0</v>
      </c>
      <c r="P16" s="13">
        <f t="shared" si="1"/>
        <v>0</v>
      </c>
    </row>
    <row r="17">
      <c r="A17" s="17" t="s">
        <v>29</v>
      </c>
      <c r="B17" s="18"/>
      <c r="C17" s="18"/>
      <c r="D17" s="19">
        <f t="shared" ref="D17:P17" si="2">D7+D9+D11+D13+D15</f>
        <v>0</v>
      </c>
      <c r="E17" s="19">
        <f t="shared" si="2"/>
        <v>0</v>
      </c>
      <c r="F17" s="19">
        <f t="shared" si="2"/>
        <v>0</v>
      </c>
      <c r="G17" s="19">
        <f t="shared" si="2"/>
        <v>0</v>
      </c>
      <c r="H17" s="19">
        <f t="shared" si="2"/>
        <v>0</v>
      </c>
      <c r="I17" s="19">
        <f t="shared" si="2"/>
        <v>0</v>
      </c>
      <c r="J17" s="19">
        <f t="shared" si="2"/>
        <v>0</v>
      </c>
      <c r="K17" s="19">
        <f t="shared" si="2"/>
        <v>0</v>
      </c>
      <c r="L17" s="19">
        <f t="shared" si="2"/>
        <v>0</v>
      </c>
      <c r="M17" s="19">
        <f t="shared" si="2"/>
        <v>0</v>
      </c>
      <c r="N17" s="19">
        <f t="shared" si="2"/>
        <v>0</v>
      </c>
      <c r="O17" s="19">
        <f t="shared" si="2"/>
        <v>0</v>
      </c>
      <c r="P17" s="19">
        <f t="shared" si="2"/>
        <v>0</v>
      </c>
    </row>
    <row r="18">
      <c r="A18" s="20" t="s">
        <v>30</v>
      </c>
      <c r="B18" s="21"/>
      <c r="C18" s="21"/>
      <c r="D18" s="22">
        <f t="shared" ref="D18:P18" si="3">D8+D10+D12+D14+D16</f>
        <v>49</v>
      </c>
      <c r="E18" s="22">
        <f t="shared" si="3"/>
        <v>0</v>
      </c>
      <c r="F18" s="22">
        <f t="shared" si="3"/>
        <v>0</v>
      </c>
      <c r="G18" s="22">
        <f t="shared" si="3"/>
        <v>0</v>
      </c>
      <c r="H18" s="22">
        <f t="shared" si="3"/>
        <v>0</v>
      </c>
      <c r="I18" s="22">
        <f t="shared" si="3"/>
        <v>0</v>
      </c>
      <c r="J18" s="22">
        <f t="shared" si="3"/>
        <v>0</v>
      </c>
      <c r="K18" s="22">
        <f t="shared" si="3"/>
        <v>0</v>
      </c>
      <c r="L18" s="22">
        <f t="shared" si="3"/>
        <v>0</v>
      </c>
      <c r="M18" s="22">
        <f t="shared" si="3"/>
        <v>0</v>
      </c>
      <c r="N18" s="22">
        <f t="shared" si="3"/>
        <v>0</v>
      </c>
      <c r="O18" s="22">
        <f t="shared" si="3"/>
        <v>0</v>
      </c>
      <c r="P18" s="22">
        <f t="shared" si="3"/>
        <v>49</v>
      </c>
    </row>
    <row r="19">
      <c r="A19" s="23" t="s">
        <v>31</v>
      </c>
      <c r="B19" s="24"/>
      <c r="C19" s="24"/>
      <c r="D19" s="25">
        <f t="shared" ref="D19:P19" si="4">D17+D18</f>
        <v>49</v>
      </c>
      <c r="E19" s="25">
        <f t="shared" si="4"/>
        <v>0</v>
      </c>
      <c r="F19" s="25">
        <f t="shared" si="4"/>
        <v>0</v>
      </c>
      <c r="G19" s="25">
        <f t="shared" si="4"/>
        <v>0</v>
      </c>
      <c r="H19" s="25">
        <f t="shared" si="4"/>
        <v>0</v>
      </c>
      <c r="I19" s="25">
        <f t="shared" si="4"/>
        <v>0</v>
      </c>
      <c r="J19" s="25">
        <f t="shared" si="4"/>
        <v>0</v>
      </c>
      <c r="K19" s="25">
        <f t="shared" si="4"/>
        <v>0</v>
      </c>
      <c r="L19" s="25">
        <f t="shared" si="4"/>
        <v>0</v>
      </c>
      <c r="M19" s="25">
        <f t="shared" si="4"/>
        <v>0</v>
      </c>
      <c r="N19" s="25">
        <f t="shared" si="4"/>
        <v>0</v>
      </c>
      <c r="O19" s="25">
        <f t="shared" si="4"/>
        <v>0</v>
      </c>
      <c r="P19" s="25">
        <f t="shared" si="4"/>
        <v>49</v>
      </c>
    </row>
    <row r="21" ht="15.0" customHeight="1">
      <c r="A21" s="26" t="s">
        <v>32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3"/>
    </row>
    <row r="22" ht="15.75" customHeight="1">
      <c r="A22" s="8" t="s">
        <v>4</v>
      </c>
      <c r="B22" s="8" t="s">
        <v>5</v>
      </c>
      <c r="C22" s="8" t="s">
        <v>6</v>
      </c>
      <c r="D22" s="8" t="s">
        <v>7</v>
      </c>
      <c r="E22" s="8" t="s">
        <v>8</v>
      </c>
      <c r="F22" s="8" t="s">
        <v>9</v>
      </c>
      <c r="G22" s="8" t="s">
        <v>10</v>
      </c>
      <c r="H22" s="8" t="s">
        <v>11</v>
      </c>
      <c r="I22" s="8" t="s">
        <v>12</v>
      </c>
      <c r="J22" s="8" t="s">
        <v>13</v>
      </c>
      <c r="K22" s="8" t="s">
        <v>14</v>
      </c>
      <c r="L22" s="8" t="s">
        <v>15</v>
      </c>
      <c r="M22" s="8" t="s">
        <v>16</v>
      </c>
      <c r="N22" s="8" t="s">
        <v>17</v>
      </c>
      <c r="O22" s="8" t="s">
        <v>18</v>
      </c>
      <c r="P22" s="8" t="s">
        <v>19</v>
      </c>
    </row>
    <row r="23" ht="15.75" customHeight="1">
      <c r="A23" s="27" t="s">
        <v>20</v>
      </c>
      <c r="B23" s="10" t="s">
        <v>21</v>
      </c>
      <c r="C23" s="11" t="s">
        <v>22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28">
        <f t="shared" ref="P23:P32" si="6">SUM(D23:O23)</f>
        <v>0</v>
      </c>
    </row>
    <row r="24" ht="15.75" customHeight="1">
      <c r="A24" s="9"/>
      <c r="B24" s="9"/>
      <c r="C24" s="14" t="s">
        <v>23</v>
      </c>
      <c r="D24" s="15">
        <f>881.44</f>
        <v>881.44</v>
      </c>
      <c r="E24" s="15">
        <v>881.44</v>
      </c>
      <c r="F24" s="15">
        <f t="shared" ref="F24:I24" si="5">881.44+3500+300</f>
        <v>4681.44</v>
      </c>
      <c r="G24" s="15">
        <f t="shared" si="5"/>
        <v>4681.44</v>
      </c>
      <c r="H24" s="15">
        <f t="shared" si="5"/>
        <v>4681.44</v>
      </c>
      <c r="I24" s="15">
        <f t="shared" si="5"/>
        <v>4681.44</v>
      </c>
      <c r="J24" s="15">
        <v>3500.0</v>
      </c>
      <c r="K24" s="15">
        <v>3500.0</v>
      </c>
      <c r="L24" s="15">
        <v>3500.0</v>
      </c>
      <c r="M24" s="15">
        <v>3500.0</v>
      </c>
      <c r="N24" s="15">
        <v>3500.0</v>
      </c>
      <c r="O24" s="15">
        <v>3500.0</v>
      </c>
      <c r="P24" s="28">
        <f t="shared" si="6"/>
        <v>41488.64</v>
      </c>
    </row>
    <row r="25" ht="15.75" customHeight="1">
      <c r="A25" s="9" t="s">
        <v>24</v>
      </c>
      <c r="B25" s="10" t="s">
        <v>21</v>
      </c>
      <c r="C25" s="11" t="s">
        <v>22</v>
      </c>
      <c r="D25" s="12">
        <v>0.0</v>
      </c>
      <c r="E25" s="12">
        <v>0.0</v>
      </c>
      <c r="F25" s="12">
        <v>0.0</v>
      </c>
      <c r="G25" s="12">
        <v>0.0</v>
      </c>
      <c r="H25" s="12">
        <v>0.0</v>
      </c>
      <c r="I25" s="12">
        <v>0.0</v>
      </c>
      <c r="J25" s="12">
        <v>0.0</v>
      </c>
      <c r="K25" s="12">
        <v>0.0</v>
      </c>
      <c r="L25" s="12">
        <v>0.0</v>
      </c>
      <c r="M25" s="12">
        <v>0.0</v>
      </c>
      <c r="N25" s="12">
        <v>0.0</v>
      </c>
      <c r="O25" s="12">
        <v>0.0</v>
      </c>
      <c r="P25" s="28">
        <f t="shared" si="6"/>
        <v>0</v>
      </c>
    </row>
    <row r="26" ht="15.75" customHeight="1">
      <c r="A26" s="9"/>
      <c r="B26" s="9"/>
      <c r="C26" s="14" t="s">
        <v>23</v>
      </c>
      <c r="D26" s="16">
        <v>0.0</v>
      </c>
      <c r="E26" s="16">
        <v>0.0</v>
      </c>
      <c r="F26" s="16">
        <v>0.0</v>
      </c>
      <c r="G26" s="16">
        <v>0.0</v>
      </c>
      <c r="H26" s="16">
        <v>0.0</v>
      </c>
      <c r="I26" s="16">
        <v>0.0</v>
      </c>
      <c r="J26" s="16">
        <v>0.0</v>
      </c>
      <c r="K26" s="16">
        <v>0.0</v>
      </c>
      <c r="L26" s="16">
        <v>0.0</v>
      </c>
      <c r="M26" s="16">
        <v>0.0</v>
      </c>
      <c r="N26" s="16">
        <v>0.0</v>
      </c>
      <c r="O26" s="16">
        <v>0.0</v>
      </c>
      <c r="P26" s="28">
        <f t="shared" si="6"/>
        <v>0</v>
      </c>
    </row>
    <row r="27" ht="15.75" customHeight="1">
      <c r="A27" s="9" t="s">
        <v>25</v>
      </c>
      <c r="B27" s="10" t="s">
        <v>26</v>
      </c>
      <c r="C27" s="11" t="s">
        <v>22</v>
      </c>
      <c r="D27" s="12">
        <v>0.0</v>
      </c>
      <c r="E27" s="12">
        <v>0.0</v>
      </c>
      <c r="F27" s="12">
        <v>0.0</v>
      </c>
      <c r="G27" s="12">
        <v>0.0</v>
      </c>
      <c r="H27" s="12">
        <v>0.0</v>
      </c>
      <c r="I27" s="12">
        <v>0.0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28">
        <f t="shared" si="6"/>
        <v>0</v>
      </c>
    </row>
    <row r="28" ht="15.75" customHeight="1">
      <c r="A28" s="9"/>
      <c r="B28" s="9"/>
      <c r="C28" s="14" t="s">
        <v>23</v>
      </c>
      <c r="D28" s="16">
        <v>0.0</v>
      </c>
      <c r="E28" s="16">
        <v>0.0</v>
      </c>
      <c r="F28" s="16">
        <v>0.0</v>
      </c>
      <c r="G28" s="16">
        <v>0.0</v>
      </c>
      <c r="H28" s="16">
        <v>0.0</v>
      </c>
      <c r="I28" s="16">
        <v>0.0</v>
      </c>
      <c r="J28" s="16">
        <v>0.0</v>
      </c>
      <c r="K28" s="16">
        <v>0.0</v>
      </c>
      <c r="L28" s="16">
        <v>0.0</v>
      </c>
      <c r="M28" s="16">
        <v>0.0</v>
      </c>
      <c r="N28" s="16">
        <v>0.0</v>
      </c>
      <c r="O28" s="16">
        <v>0.0</v>
      </c>
      <c r="P28" s="28">
        <f t="shared" si="6"/>
        <v>0</v>
      </c>
    </row>
    <row r="29" ht="15.75" customHeight="1">
      <c r="A29" s="9" t="s">
        <v>27</v>
      </c>
      <c r="B29" s="10" t="s">
        <v>26</v>
      </c>
      <c r="C29" s="11" t="s">
        <v>22</v>
      </c>
      <c r="D29" s="12">
        <v>0.0</v>
      </c>
      <c r="E29" s="12">
        <v>0.0</v>
      </c>
      <c r="F29" s="12">
        <v>0.0</v>
      </c>
      <c r="G29" s="12">
        <v>0.0</v>
      </c>
      <c r="H29" s="12">
        <v>0.0</v>
      </c>
      <c r="I29" s="12">
        <v>0.0</v>
      </c>
      <c r="J29" s="12">
        <v>0.0</v>
      </c>
      <c r="K29" s="12">
        <v>0.0</v>
      </c>
      <c r="L29" s="12">
        <v>0.0</v>
      </c>
      <c r="M29" s="12">
        <v>0.0</v>
      </c>
      <c r="N29" s="12">
        <v>0.0</v>
      </c>
      <c r="O29" s="12">
        <v>0.0</v>
      </c>
      <c r="P29" s="28">
        <f t="shared" si="6"/>
        <v>0</v>
      </c>
    </row>
    <row r="30" ht="15.75" customHeight="1">
      <c r="A30" s="9"/>
      <c r="B30" s="9"/>
      <c r="C30" s="14" t="s">
        <v>23</v>
      </c>
      <c r="D30" s="16">
        <v>0.0</v>
      </c>
      <c r="E30" s="16">
        <v>0.0</v>
      </c>
      <c r="F30" s="16">
        <v>0.0</v>
      </c>
      <c r="G30" s="16">
        <v>0.0</v>
      </c>
      <c r="H30" s="16">
        <v>0.0</v>
      </c>
      <c r="I30" s="16">
        <v>0.0</v>
      </c>
      <c r="J30" s="16">
        <v>0.0</v>
      </c>
      <c r="K30" s="16">
        <v>0.0</v>
      </c>
      <c r="L30" s="16">
        <v>0.0</v>
      </c>
      <c r="M30" s="16">
        <v>0.0</v>
      </c>
      <c r="N30" s="16">
        <v>0.0</v>
      </c>
      <c r="O30" s="16">
        <v>0.0</v>
      </c>
      <c r="P30" s="28">
        <f t="shared" si="6"/>
        <v>0</v>
      </c>
    </row>
    <row r="31" ht="15.75" customHeight="1">
      <c r="A31" s="9" t="s">
        <v>28</v>
      </c>
      <c r="B31" s="10" t="s">
        <v>26</v>
      </c>
      <c r="C31" s="11" t="s">
        <v>22</v>
      </c>
      <c r="D31" s="12">
        <v>0.0</v>
      </c>
      <c r="E31" s="12">
        <v>0.0</v>
      </c>
      <c r="F31" s="12">
        <v>0.0</v>
      </c>
      <c r="G31" s="12">
        <v>0.0</v>
      </c>
      <c r="H31" s="12">
        <v>0.0</v>
      </c>
      <c r="I31" s="12">
        <v>0.0</v>
      </c>
      <c r="J31" s="12">
        <v>0.0</v>
      </c>
      <c r="K31" s="12">
        <v>0.0</v>
      </c>
      <c r="L31" s="12">
        <v>0.0</v>
      </c>
      <c r="M31" s="12">
        <v>0.0</v>
      </c>
      <c r="N31" s="12">
        <v>0.0</v>
      </c>
      <c r="O31" s="12">
        <v>0.0</v>
      </c>
      <c r="P31" s="28">
        <f t="shared" si="6"/>
        <v>0</v>
      </c>
    </row>
    <row r="32" ht="15.75" customHeight="1">
      <c r="A32" s="9"/>
      <c r="B32" s="9"/>
      <c r="C32" s="14" t="s">
        <v>23</v>
      </c>
      <c r="D32" s="16">
        <v>0.0</v>
      </c>
      <c r="E32" s="16">
        <v>0.0</v>
      </c>
      <c r="F32" s="16">
        <v>0.0</v>
      </c>
      <c r="G32" s="16">
        <v>0.0</v>
      </c>
      <c r="H32" s="16">
        <v>0.0</v>
      </c>
      <c r="I32" s="16">
        <v>0.0</v>
      </c>
      <c r="J32" s="16">
        <v>0.0</v>
      </c>
      <c r="K32" s="16">
        <v>0.0</v>
      </c>
      <c r="L32" s="16">
        <v>0.0</v>
      </c>
      <c r="M32" s="16">
        <v>0.0</v>
      </c>
      <c r="N32" s="16">
        <v>0.0</v>
      </c>
      <c r="O32" s="16">
        <v>0.0</v>
      </c>
      <c r="P32" s="28">
        <f t="shared" si="6"/>
        <v>0</v>
      </c>
    </row>
    <row r="33" ht="15.75" customHeight="1">
      <c r="A33" s="17" t="s">
        <v>33</v>
      </c>
      <c r="B33" s="18"/>
      <c r="C33" s="18"/>
      <c r="D33" s="19">
        <f t="shared" ref="D33:P33" si="7">D23+D25+D27+D29+D31</f>
        <v>0</v>
      </c>
      <c r="E33" s="19">
        <f t="shared" si="7"/>
        <v>0</v>
      </c>
      <c r="F33" s="19">
        <f t="shared" si="7"/>
        <v>0</v>
      </c>
      <c r="G33" s="19">
        <f t="shared" si="7"/>
        <v>0</v>
      </c>
      <c r="H33" s="19">
        <f t="shared" si="7"/>
        <v>0</v>
      </c>
      <c r="I33" s="19">
        <f t="shared" si="7"/>
        <v>0</v>
      </c>
      <c r="J33" s="19">
        <f t="shared" si="7"/>
        <v>0</v>
      </c>
      <c r="K33" s="19">
        <f t="shared" si="7"/>
        <v>0</v>
      </c>
      <c r="L33" s="19">
        <f t="shared" si="7"/>
        <v>0</v>
      </c>
      <c r="M33" s="19">
        <f t="shared" si="7"/>
        <v>0</v>
      </c>
      <c r="N33" s="19">
        <f t="shared" si="7"/>
        <v>0</v>
      </c>
      <c r="O33" s="19">
        <f t="shared" si="7"/>
        <v>0</v>
      </c>
      <c r="P33" s="19">
        <f t="shared" si="7"/>
        <v>0</v>
      </c>
    </row>
    <row r="34" ht="15.75" customHeight="1">
      <c r="A34" s="20" t="s">
        <v>34</v>
      </c>
      <c r="B34" s="21"/>
      <c r="C34" s="21"/>
      <c r="D34" s="22">
        <f t="shared" ref="D34:P34" si="8">D24+D26+D28+D30+D32</f>
        <v>881.44</v>
      </c>
      <c r="E34" s="22">
        <f t="shared" si="8"/>
        <v>881.44</v>
      </c>
      <c r="F34" s="22">
        <f t="shared" si="8"/>
        <v>4681.44</v>
      </c>
      <c r="G34" s="22">
        <f t="shared" si="8"/>
        <v>4681.44</v>
      </c>
      <c r="H34" s="22">
        <f t="shared" si="8"/>
        <v>4681.44</v>
      </c>
      <c r="I34" s="22">
        <f t="shared" si="8"/>
        <v>4681.44</v>
      </c>
      <c r="J34" s="22">
        <f t="shared" si="8"/>
        <v>3500</v>
      </c>
      <c r="K34" s="22">
        <f t="shared" si="8"/>
        <v>3500</v>
      </c>
      <c r="L34" s="22">
        <f t="shared" si="8"/>
        <v>3500</v>
      </c>
      <c r="M34" s="22">
        <f t="shared" si="8"/>
        <v>3500</v>
      </c>
      <c r="N34" s="22">
        <f t="shared" si="8"/>
        <v>3500</v>
      </c>
      <c r="O34" s="22">
        <f t="shared" si="8"/>
        <v>3500</v>
      </c>
      <c r="P34" s="22">
        <f t="shared" si="8"/>
        <v>41488.64</v>
      </c>
    </row>
    <row r="35" ht="15.75" customHeight="1">
      <c r="A35" s="29" t="s">
        <v>35</v>
      </c>
      <c r="B35" s="30"/>
      <c r="C35" s="30"/>
      <c r="D35" s="31">
        <f t="shared" ref="D35:P35" si="9">D33+D34</f>
        <v>881.44</v>
      </c>
      <c r="E35" s="31">
        <f t="shared" si="9"/>
        <v>881.44</v>
      </c>
      <c r="F35" s="31">
        <f t="shared" si="9"/>
        <v>4681.44</v>
      </c>
      <c r="G35" s="31">
        <f t="shared" si="9"/>
        <v>4681.44</v>
      </c>
      <c r="H35" s="31">
        <f t="shared" si="9"/>
        <v>4681.44</v>
      </c>
      <c r="I35" s="31">
        <f t="shared" si="9"/>
        <v>4681.44</v>
      </c>
      <c r="J35" s="31">
        <f t="shared" si="9"/>
        <v>3500</v>
      </c>
      <c r="K35" s="31">
        <f t="shared" si="9"/>
        <v>3500</v>
      </c>
      <c r="L35" s="31">
        <f t="shared" si="9"/>
        <v>3500</v>
      </c>
      <c r="M35" s="31">
        <f t="shared" si="9"/>
        <v>3500</v>
      </c>
      <c r="N35" s="31">
        <f t="shared" si="9"/>
        <v>3500</v>
      </c>
      <c r="O35" s="31">
        <f t="shared" si="9"/>
        <v>3500</v>
      </c>
      <c r="P35" s="31">
        <f t="shared" si="9"/>
        <v>41488.64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P1"/>
    <mergeCell ref="A5:P5"/>
    <mergeCell ref="A21:P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8.0"/>
    <col customWidth="1" min="3" max="3" width="5.29"/>
    <col customWidth="1" min="4" max="15" width="8.0"/>
    <col customWidth="1" min="16" max="16" width="10.0"/>
    <col customWidth="1" min="17" max="26" width="8.71"/>
  </cols>
  <sheetData>
    <row r="1" ht="17.25" customHeight="1">
      <c r="A1" s="32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3">
      <c r="A3" s="4" t="s">
        <v>1</v>
      </c>
      <c r="B3" s="33">
        <f>Ingresos!B3</f>
        <v>2026</v>
      </c>
    </row>
    <row r="5" ht="15.0" customHeight="1">
      <c r="A5" s="7" t="s">
        <v>37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8" t="s">
        <v>15</v>
      </c>
      <c r="M6" s="8" t="s">
        <v>16</v>
      </c>
      <c r="N6" s="8" t="s">
        <v>17</v>
      </c>
      <c r="O6" s="8" t="s">
        <v>18</v>
      </c>
      <c r="P6" s="8" t="s">
        <v>19</v>
      </c>
    </row>
    <row r="7">
      <c r="A7" s="9" t="s">
        <v>38</v>
      </c>
      <c r="B7" s="10" t="s">
        <v>21</v>
      </c>
      <c r="C7" s="11" t="s">
        <v>22</v>
      </c>
      <c r="D7" s="12">
        <v>0.0</v>
      </c>
      <c r="E7" s="12">
        <v>0.0</v>
      </c>
      <c r="F7" s="12">
        <v>0.0</v>
      </c>
      <c r="G7" s="12">
        <v>0.0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0.0</v>
      </c>
      <c r="O7" s="12">
        <v>0.0</v>
      </c>
      <c r="P7" s="13">
        <f t="shared" ref="P7:P26" si="1">SUM(D7:O7)</f>
        <v>0</v>
      </c>
    </row>
    <row r="8">
      <c r="A8" s="9"/>
      <c r="B8" s="9"/>
      <c r="C8" s="14" t="s">
        <v>23</v>
      </c>
      <c r="D8" s="16">
        <v>0.0</v>
      </c>
      <c r="E8" s="15">
        <v>250.0</v>
      </c>
      <c r="F8" s="15">
        <v>250.0</v>
      </c>
      <c r="G8" s="15">
        <v>250.0</v>
      </c>
      <c r="H8" s="15">
        <v>250.0</v>
      </c>
      <c r="I8" s="15">
        <v>188.0</v>
      </c>
      <c r="J8" s="16">
        <v>0.0</v>
      </c>
      <c r="K8" s="16">
        <v>0.0</v>
      </c>
      <c r="L8" s="16">
        <v>0.0</v>
      </c>
      <c r="M8" s="16">
        <v>0.0</v>
      </c>
      <c r="N8" s="16">
        <v>0.0</v>
      </c>
      <c r="O8" s="16">
        <v>0.0</v>
      </c>
      <c r="P8" s="13">
        <f t="shared" si="1"/>
        <v>1188</v>
      </c>
    </row>
    <row r="9">
      <c r="A9" s="9" t="s">
        <v>39</v>
      </c>
      <c r="B9" s="10" t="s">
        <v>26</v>
      </c>
      <c r="C9" s="11" t="s">
        <v>22</v>
      </c>
      <c r="D9" s="12">
        <v>0.0</v>
      </c>
      <c r="E9" s="12">
        <v>0.0</v>
      </c>
      <c r="F9" s="12">
        <v>0.0</v>
      </c>
      <c r="G9" s="12">
        <v>0.0</v>
      </c>
      <c r="H9" s="12">
        <v>0.0</v>
      </c>
      <c r="I9" s="12">
        <v>0.0</v>
      </c>
      <c r="J9" s="12">
        <v>0.0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3">
        <f t="shared" si="1"/>
        <v>0</v>
      </c>
    </row>
    <row r="10">
      <c r="A10" s="9"/>
      <c r="B10" s="9"/>
      <c r="C10" s="14" t="s">
        <v>23</v>
      </c>
      <c r="D10" s="16">
        <v>0.0</v>
      </c>
      <c r="E10" s="16">
        <v>0.0</v>
      </c>
      <c r="F10" s="16">
        <v>0.0</v>
      </c>
      <c r="G10" s="16">
        <v>0.0</v>
      </c>
      <c r="H10" s="16">
        <v>0.0</v>
      </c>
      <c r="I10" s="16">
        <v>0.0</v>
      </c>
      <c r="J10" s="16">
        <v>0.0</v>
      </c>
      <c r="K10" s="16">
        <v>0.0</v>
      </c>
      <c r="L10" s="16">
        <v>0.0</v>
      </c>
      <c r="M10" s="16">
        <v>0.0</v>
      </c>
      <c r="N10" s="16">
        <v>0.0</v>
      </c>
      <c r="O10" s="16">
        <v>0.0</v>
      </c>
      <c r="P10" s="13">
        <f t="shared" si="1"/>
        <v>0</v>
      </c>
    </row>
    <row r="11">
      <c r="A11" s="9" t="s">
        <v>40</v>
      </c>
      <c r="B11" s="10" t="s">
        <v>21</v>
      </c>
      <c r="C11" s="11" t="s">
        <v>22</v>
      </c>
      <c r="D11" s="12">
        <v>0.0</v>
      </c>
      <c r="E11" s="12">
        <v>0.0</v>
      </c>
      <c r="F11" s="12">
        <v>0.0</v>
      </c>
      <c r="G11" s="12">
        <v>0.0</v>
      </c>
      <c r="H11" s="12">
        <v>0.0</v>
      </c>
      <c r="I11" s="12">
        <v>0.0</v>
      </c>
      <c r="J11" s="12">
        <v>0.0</v>
      </c>
      <c r="K11" s="12">
        <v>0.0</v>
      </c>
      <c r="L11" s="12">
        <v>0.0</v>
      </c>
      <c r="M11" s="12">
        <v>0.0</v>
      </c>
      <c r="N11" s="12">
        <v>0.0</v>
      </c>
      <c r="O11" s="12">
        <v>0.0</v>
      </c>
      <c r="P11" s="13">
        <f t="shared" si="1"/>
        <v>0</v>
      </c>
    </row>
    <row r="12">
      <c r="A12" s="9"/>
      <c r="B12" s="9"/>
      <c r="C12" s="14" t="s">
        <v>23</v>
      </c>
      <c r="D12" s="16">
        <v>0.0</v>
      </c>
      <c r="E12" s="16">
        <v>0.0</v>
      </c>
      <c r="F12" s="16">
        <v>0.0</v>
      </c>
      <c r="G12" s="16">
        <v>0.0</v>
      </c>
      <c r="H12" s="16">
        <v>0.0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  <c r="N12" s="16">
        <v>0.0</v>
      </c>
      <c r="O12" s="16">
        <v>0.0</v>
      </c>
      <c r="P12" s="13">
        <f t="shared" si="1"/>
        <v>0</v>
      </c>
    </row>
    <row r="13">
      <c r="A13" s="9" t="s">
        <v>41</v>
      </c>
      <c r="B13" s="10" t="s">
        <v>26</v>
      </c>
      <c r="C13" s="11" t="s">
        <v>22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2">
        <v>0.0</v>
      </c>
      <c r="J13" s="12">
        <v>0.0</v>
      </c>
      <c r="K13" s="12">
        <v>0.0</v>
      </c>
      <c r="L13" s="12">
        <v>0.0</v>
      </c>
      <c r="M13" s="12">
        <v>0.0</v>
      </c>
      <c r="N13" s="12">
        <v>0.0</v>
      </c>
      <c r="O13" s="12">
        <v>0.0</v>
      </c>
      <c r="P13" s="13">
        <f t="shared" si="1"/>
        <v>0</v>
      </c>
    </row>
    <row r="14">
      <c r="A14" s="9"/>
      <c r="B14" s="9"/>
      <c r="C14" s="14" t="s">
        <v>23</v>
      </c>
      <c r="D14" s="16">
        <v>0.0</v>
      </c>
      <c r="E14" s="16">
        <v>0.0</v>
      </c>
      <c r="F14" s="16">
        <v>0.0</v>
      </c>
      <c r="G14" s="16">
        <v>0.0</v>
      </c>
      <c r="H14" s="16">
        <v>0.0</v>
      </c>
      <c r="I14" s="16">
        <v>0.0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13">
        <f t="shared" si="1"/>
        <v>0</v>
      </c>
    </row>
    <row r="15">
      <c r="A15" s="9" t="s">
        <v>42</v>
      </c>
      <c r="B15" s="10" t="s">
        <v>26</v>
      </c>
      <c r="C15" s="11" t="s">
        <v>22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3">
        <f t="shared" si="1"/>
        <v>0</v>
      </c>
    </row>
    <row r="16">
      <c r="A16" s="9"/>
      <c r="B16" s="9"/>
      <c r="C16" s="14" t="s">
        <v>23</v>
      </c>
      <c r="D16" s="16">
        <v>0.0</v>
      </c>
      <c r="E16" s="16">
        <v>0.0</v>
      </c>
      <c r="F16" s="16">
        <v>0.0</v>
      </c>
      <c r="G16" s="16">
        <v>0.0</v>
      </c>
      <c r="H16" s="16">
        <v>0.0</v>
      </c>
      <c r="I16" s="16">
        <v>0.0</v>
      </c>
      <c r="J16" s="16">
        <v>0.0</v>
      </c>
      <c r="K16" s="16">
        <v>0.0</v>
      </c>
      <c r="L16" s="16">
        <v>0.0</v>
      </c>
      <c r="M16" s="16">
        <v>0.0</v>
      </c>
      <c r="N16" s="16">
        <v>0.0</v>
      </c>
      <c r="O16" s="16">
        <v>0.0</v>
      </c>
      <c r="P16" s="13">
        <f t="shared" si="1"/>
        <v>0</v>
      </c>
    </row>
    <row r="17">
      <c r="A17" s="9" t="s">
        <v>43</v>
      </c>
      <c r="B17" s="10" t="s">
        <v>26</v>
      </c>
      <c r="C17" s="11" t="s">
        <v>22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2">
        <v>0.0</v>
      </c>
      <c r="N17" s="12">
        <v>0.0</v>
      </c>
      <c r="O17" s="12">
        <v>0.0</v>
      </c>
      <c r="P17" s="13">
        <f t="shared" si="1"/>
        <v>0</v>
      </c>
    </row>
    <row r="18">
      <c r="A18" s="9"/>
      <c r="B18" s="9"/>
      <c r="C18" s="14" t="s">
        <v>23</v>
      </c>
      <c r="D18" s="16">
        <v>0.0</v>
      </c>
      <c r="E18" s="16">
        <v>0.0</v>
      </c>
      <c r="F18" s="16">
        <v>0.0</v>
      </c>
      <c r="G18" s="16">
        <v>0.0</v>
      </c>
      <c r="H18" s="16">
        <v>0.0</v>
      </c>
      <c r="I18" s="16">
        <v>0.0</v>
      </c>
      <c r="J18" s="16">
        <v>0.0</v>
      </c>
      <c r="K18" s="16">
        <v>0.0</v>
      </c>
      <c r="L18" s="16">
        <v>0.0</v>
      </c>
      <c r="M18" s="16">
        <v>0.0</v>
      </c>
      <c r="N18" s="16">
        <v>0.0</v>
      </c>
      <c r="O18" s="16">
        <v>0.0</v>
      </c>
      <c r="P18" s="13">
        <f t="shared" si="1"/>
        <v>0</v>
      </c>
    </row>
    <row r="19">
      <c r="A19" s="9" t="s">
        <v>44</v>
      </c>
      <c r="B19" s="10" t="s">
        <v>26</v>
      </c>
      <c r="C19" s="11" t="s">
        <v>22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2">
        <v>0.0</v>
      </c>
      <c r="P19" s="13">
        <f t="shared" si="1"/>
        <v>0</v>
      </c>
    </row>
    <row r="20">
      <c r="A20" s="9"/>
      <c r="B20" s="9"/>
      <c r="C20" s="14" t="s">
        <v>23</v>
      </c>
      <c r="D20" s="16">
        <v>0.0</v>
      </c>
      <c r="E20" s="16">
        <v>0.0</v>
      </c>
      <c r="F20" s="16">
        <v>0.0</v>
      </c>
      <c r="G20" s="16">
        <v>0.0</v>
      </c>
      <c r="H20" s="16">
        <v>0.0</v>
      </c>
      <c r="I20" s="16">
        <v>0.0</v>
      </c>
      <c r="J20" s="16">
        <v>0.0</v>
      </c>
      <c r="K20" s="16">
        <v>0.0</v>
      </c>
      <c r="L20" s="16">
        <v>0.0</v>
      </c>
      <c r="M20" s="16">
        <v>0.0</v>
      </c>
      <c r="N20" s="16">
        <v>0.0</v>
      </c>
      <c r="O20" s="16">
        <v>0.0</v>
      </c>
      <c r="P20" s="13">
        <f t="shared" si="1"/>
        <v>0</v>
      </c>
    </row>
    <row r="21" ht="15.75" customHeight="1">
      <c r="A21" s="9" t="s">
        <v>45</v>
      </c>
      <c r="B21" s="10" t="s">
        <v>26</v>
      </c>
      <c r="C21" s="11" t="s">
        <v>22</v>
      </c>
      <c r="D21" s="12">
        <v>0.0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3">
        <f t="shared" si="1"/>
        <v>0</v>
      </c>
    </row>
    <row r="22" ht="15.75" customHeight="1">
      <c r="A22" s="9"/>
      <c r="B22" s="9"/>
      <c r="C22" s="14" t="s">
        <v>23</v>
      </c>
      <c r="D22" s="16">
        <v>0.0</v>
      </c>
      <c r="E22" s="16">
        <v>0.0</v>
      </c>
      <c r="F22" s="16">
        <v>0.0</v>
      </c>
      <c r="G22" s="16">
        <v>0.0</v>
      </c>
      <c r="H22" s="16">
        <v>0.0</v>
      </c>
      <c r="I22" s="16">
        <v>0.0</v>
      </c>
      <c r="J22" s="16">
        <v>0.0</v>
      </c>
      <c r="K22" s="16">
        <v>0.0</v>
      </c>
      <c r="L22" s="16">
        <v>0.0</v>
      </c>
      <c r="M22" s="16">
        <v>0.0</v>
      </c>
      <c r="N22" s="16">
        <v>0.0</v>
      </c>
      <c r="O22" s="16">
        <v>0.0</v>
      </c>
      <c r="P22" s="13">
        <f t="shared" si="1"/>
        <v>0</v>
      </c>
    </row>
    <row r="23" ht="15.75" customHeight="1">
      <c r="A23" s="9" t="s">
        <v>46</v>
      </c>
      <c r="B23" s="10" t="s">
        <v>21</v>
      </c>
      <c r="C23" s="11" t="s">
        <v>22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3">
        <f t="shared" si="1"/>
        <v>0</v>
      </c>
    </row>
    <row r="24" ht="15.75" customHeight="1">
      <c r="A24" s="9"/>
      <c r="B24" s="9"/>
      <c r="C24" s="14" t="s">
        <v>23</v>
      </c>
      <c r="D24" s="16">
        <v>0.0</v>
      </c>
      <c r="E24" s="16">
        <v>0.0</v>
      </c>
      <c r="F24" s="16">
        <v>0.0</v>
      </c>
      <c r="G24" s="16">
        <v>0.0</v>
      </c>
      <c r="H24" s="16">
        <v>0.0</v>
      </c>
      <c r="I24" s="16">
        <v>0.0</v>
      </c>
      <c r="J24" s="16">
        <v>0.0</v>
      </c>
      <c r="K24" s="16">
        <v>0.0</v>
      </c>
      <c r="L24" s="16">
        <v>0.0</v>
      </c>
      <c r="M24" s="16">
        <v>0.0</v>
      </c>
      <c r="N24" s="16">
        <v>0.0</v>
      </c>
      <c r="O24" s="16">
        <v>0.0</v>
      </c>
      <c r="P24" s="13">
        <f t="shared" si="1"/>
        <v>0</v>
      </c>
    </row>
    <row r="25" ht="15.75" customHeight="1">
      <c r="A25" s="9" t="s">
        <v>47</v>
      </c>
      <c r="B25" s="10" t="s">
        <v>26</v>
      </c>
      <c r="C25" s="11" t="s">
        <v>22</v>
      </c>
      <c r="D25" s="12">
        <v>0.0</v>
      </c>
      <c r="E25" s="12">
        <v>0.0</v>
      </c>
      <c r="F25" s="12">
        <v>0.0</v>
      </c>
      <c r="G25" s="12">
        <v>0.0</v>
      </c>
      <c r="H25" s="12">
        <v>0.0</v>
      </c>
      <c r="I25" s="12">
        <v>0.0</v>
      </c>
      <c r="J25" s="12">
        <v>0.0</v>
      </c>
      <c r="K25" s="12">
        <v>0.0</v>
      </c>
      <c r="L25" s="12">
        <v>0.0</v>
      </c>
      <c r="M25" s="12">
        <v>0.0</v>
      </c>
      <c r="N25" s="12">
        <v>0.0</v>
      </c>
      <c r="O25" s="12">
        <v>0.0</v>
      </c>
      <c r="P25" s="13">
        <f t="shared" si="1"/>
        <v>0</v>
      </c>
    </row>
    <row r="26" ht="15.75" customHeight="1">
      <c r="A26" s="9"/>
      <c r="B26" s="9"/>
      <c r="C26" s="14" t="s">
        <v>23</v>
      </c>
      <c r="D26" s="16">
        <v>0.0</v>
      </c>
      <c r="E26" s="16">
        <v>0.0</v>
      </c>
      <c r="F26" s="16">
        <v>0.0</v>
      </c>
      <c r="G26" s="16">
        <v>0.0</v>
      </c>
      <c r="H26" s="16">
        <v>0.0</v>
      </c>
      <c r="I26" s="16">
        <v>0.0</v>
      </c>
      <c r="J26" s="16">
        <v>0.0</v>
      </c>
      <c r="K26" s="16">
        <v>0.0</v>
      </c>
      <c r="L26" s="16">
        <v>0.0</v>
      </c>
      <c r="M26" s="16">
        <v>0.0</v>
      </c>
      <c r="N26" s="16">
        <v>0.0</v>
      </c>
      <c r="O26" s="16">
        <v>0.0</v>
      </c>
      <c r="P26" s="13">
        <f t="shared" si="1"/>
        <v>0</v>
      </c>
    </row>
    <row r="27" ht="15.75" customHeight="1">
      <c r="A27" s="17" t="s">
        <v>29</v>
      </c>
      <c r="B27" s="18"/>
      <c r="C27" s="18"/>
      <c r="D27" s="19">
        <f t="shared" ref="D27:P27" si="2">D7+D9+D11+D13+D15+D17+D19+D21+D23+D25</f>
        <v>0</v>
      </c>
      <c r="E27" s="19">
        <f t="shared" si="2"/>
        <v>0</v>
      </c>
      <c r="F27" s="19">
        <f t="shared" si="2"/>
        <v>0</v>
      </c>
      <c r="G27" s="19">
        <f t="shared" si="2"/>
        <v>0</v>
      </c>
      <c r="H27" s="19">
        <f t="shared" si="2"/>
        <v>0</v>
      </c>
      <c r="I27" s="19">
        <f t="shared" si="2"/>
        <v>0</v>
      </c>
      <c r="J27" s="19">
        <f t="shared" si="2"/>
        <v>0</v>
      </c>
      <c r="K27" s="19">
        <f t="shared" si="2"/>
        <v>0</v>
      </c>
      <c r="L27" s="19">
        <f t="shared" si="2"/>
        <v>0</v>
      </c>
      <c r="M27" s="19">
        <f t="shared" si="2"/>
        <v>0</v>
      </c>
      <c r="N27" s="19">
        <f t="shared" si="2"/>
        <v>0</v>
      </c>
      <c r="O27" s="19">
        <f t="shared" si="2"/>
        <v>0</v>
      </c>
      <c r="P27" s="19">
        <f t="shared" si="2"/>
        <v>0</v>
      </c>
    </row>
    <row r="28" ht="15.75" customHeight="1">
      <c r="A28" s="20" t="s">
        <v>30</v>
      </c>
      <c r="B28" s="21"/>
      <c r="C28" s="21"/>
      <c r="D28" s="22">
        <f t="shared" ref="D28:P28" si="3">D8+D10+D12+D14+D16+D18+D20+D22+D24+D26</f>
        <v>0</v>
      </c>
      <c r="E28" s="22">
        <f t="shared" si="3"/>
        <v>250</v>
      </c>
      <c r="F28" s="22">
        <f t="shared" si="3"/>
        <v>250</v>
      </c>
      <c r="G28" s="22">
        <f t="shared" si="3"/>
        <v>250</v>
      </c>
      <c r="H28" s="22">
        <f t="shared" si="3"/>
        <v>250</v>
      </c>
      <c r="I28" s="22">
        <f t="shared" si="3"/>
        <v>188</v>
      </c>
      <c r="J28" s="22">
        <f t="shared" si="3"/>
        <v>0</v>
      </c>
      <c r="K28" s="22">
        <f t="shared" si="3"/>
        <v>0</v>
      </c>
      <c r="L28" s="22">
        <f t="shared" si="3"/>
        <v>0</v>
      </c>
      <c r="M28" s="22">
        <f t="shared" si="3"/>
        <v>0</v>
      </c>
      <c r="N28" s="22">
        <f t="shared" si="3"/>
        <v>0</v>
      </c>
      <c r="O28" s="22">
        <f t="shared" si="3"/>
        <v>0</v>
      </c>
      <c r="P28" s="22">
        <f t="shared" si="3"/>
        <v>1188</v>
      </c>
    </row>
    <row r="29" ht="15.75" customHeight="1">
      <c r="A29" s="23" t="s">
        <v>48</v>
      </c>
      <c r="B29" s="24"/>
      <c r="C29" s="24"/>
      <c r="D29" s="25">
        <f t="shared" ref="D29:P29" si="4">D27+D28</f>
        <v>0</v>
      </c>
      <c r="E29" s="25">
        <f t="shared" si="4"/>
        <v>250</v>
      </c>
      <c r="F29" s="25">
        <f t="shared" si="4"/>
        <v>250</v>
      </c>
      <c r="G29" s="25">
        <f t="shared" si="4"/>
        <v>250</v>
      </c>
      <c r="H29" s="25">
        <f t="shared" si="4"/>
        <v>250</v>
      </c>
      <c r="I29" s="25">
        <f t="shared" si="4"/>
        <v>188</v>
      </c>
      <c r="J29" s="25">
        <f t="shared" si="4"/>
        <v>0</v>
      </c>
      <c r="K29" s="25">
        <f t="shared" si="4"/>
        <v>0</v>
      </c>
      <c r="L29" s="25">
        <f t="shared" si="4"/>
        <v>0</v>
      </c>
      <c r="M29" s="25">
        <f t="shared" si="4"/>
        <v>0</v>
      </c>
      <c r="N29" s="25">
        <f t="shared" si="4"/>
        <v>0</v>
      </c>
      <c r="O29" s="25">
        <f t="shared" si="4"/>
        <v>0</v>
      </c>
      <c r="P29" s="25">
        <f t="shared" si="4"/>
        <v>1188</v>
      </c>
    </row>
    <row r="30" ht="15.75" customHeight="1"/>
    <row r="31" ht="15.0" customHeight="1">
      <c r="A31" s="26" t="s">
        <v>49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</row>
    <row r="32" ht="15.75" customHeight="1">
      <c r="A32" s="8" t="s">
        <v>4</v>
      </c>
      <c r="B32" s="8" t="s">
        <v>5</v>
      </c>
      <c r="C32" s="8" t="s">
        <v>6</v>
      </c>
      <c r="D32" s="8" t="s">
        <v>7</v>
      </c>
      <c r="E32" s="8" t="s">
        <v>8</v>
      </c>
      <c r="F32" s="8" t="s">
        <v>9</v>
      </c>
      <c r="G32" s="8" t="s">
        <v>10</v>
      </c>
      <c r="H32" s="8" t="s">
        <v>11</v>
      </c>
      <c r="I32" s="8" t="s">
        <v>12</v>
      </c>
      <c r="J32" s="8" t="s">
        <v>13</v>
      </c>
      <c r="K32" s="8" t="s">
        <v>14</v>
      </c>
      <c r="L32" s="8" t="s">
        <v>15</v>
      </c>
      <c r="M32" s="8" t="s">
        <v>16</v>
      </c>
      <c r="N32" s="8" t="s">
        <v>17</v>
      </c>
      <c r="O32" s="8" t="s">
        <v>18</v>
      </c>
      <c r="P32" s="8" t="s">
        <v>19</v>
      </c>
    </row>
    <row r="33" ht="15.75" customHeight="1">
      <c r="A33" s="9" t="s">
        <v>38</v>
      </c>
      <c r="B33" s="10" t="s">
        <v>21</v>
      </c>
      <c r="C33" s="11" t="s">
        <v>22</v>
      </c>
      <c r="D33" s="12">
        <v>0.0</v>
      </c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2">
        <v>0.0</v>
      </c>
      <c r="N33" s="12">
        <v>0.0</v>
      </c>
      <c r="O33" s="12">
        <v>0.0</v>
      </c>
      <c r="P33" s="28">
        <f t="shared" ref="P33:P52" si="5">SUM(D33:O33)</f>
        <v>0</v>
      </c>
    </row>
    <row r="34" ht="15.75" customHeight="1">
      <c r="A34" s="9"/>
      <c r="B34" s="9"/>
      <c r="C34" s="14" t="s">
        <v>23</v>
      </c>
      <c r="D34" s="16">
        <v>0.0</v>
      </c>
      <c r="E34" s="15">
        <v>250.0</v>
      </c>
      <c r="F34" s="15">
        <v>250.0</v>
      </c>
      <c r="G34" s="15">
        <v>250.0</v>
      </c>
      <c r="H34" s="15">
        <v>250.0</v>
      </c>
      <c r="I34" s="15">
        <v>187.0</v>
      </c>
      <c r="J34" s="16">
        <v>0.0</v>
      </c>
      <c r="K34" s="16">
        <v>0.0</v>
      </c>
      <c r="L34" s="16">
        <v>0.0</v>
      </c>
      <c r="M34" s="16">
        <v>0.0</v>
      </c>
      <c r="N34" s="16">
        <v>0.0</v>
      </c>
      <c r="O34" s="16">
        <v>0.0</v>
      </c>
      <c r="P34" s="28">
        <f t="shared" si="5"/>
        <v>1187</v>
      </c>
    </row>
    <row r="35" ht="15.75" customHeight="1">
      <c r="A35" s="9" t="s">
        <v>39</v>
      </c>
      <c r="B35" s="10" t="s">
        <v>26</v>
      </c>
      <c r="C35" s="11" t="s">
        <v>22</v>
      </c>
      <c r="D35" s="12">
        <v>0.0</v>
      </c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12">
        <v>0.0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  <c r="P35" s="28">
        <f t="shared" si="5"/>
        <v>0</v>
      </c>
    </row>
    <row r="36" ht="15.75" customHeight="1">
      <c r="A36" s="9"/>
      <c r="B36" s="9"/>
      <c r="C36" s="14" t="s">
        <v>23</v>
      </c>
      <c r="D36" s="16">
        <v>0.0</v>
      </c>
      <c r="E36" s="16">
        <v>0.0</v>
      </c>
      <c r="F36" s="16">
        <v>0.0</v>
      </c>
      <c r="G36" s="16">
        <v>0.0</v>
      </c>
      <c r="H36" s="16">
        <v>0.0</v>
      </c>
      <c r="I36" s="16">
        <v>0.0</v>
      </c>
      <c r="J36" s="16">
        <v>0.0</v>
      </c>
      <c r="K36" s="16">
        <v>0.0</v>
      </c>
      <c r="L36" s="16">
        <v>0.0</v>
      </c>
      <c r="M36" s="16">
        <v>0.0</v>
      </c>
      <c r="N36" s="16">
        <v>0.0</v>
      </c>
      <c r="O36" s="16">
        <v>0.0</v>
      </c>
      <c r="P36" s="28">
        <f t="shared" si="5"/>
        <v>0</v>
      </c>
    </row>
    <row r="37" ht="15.75" customHeight="1">
      <c r="A37" s="9" t="s">
        <v>40</v>
      </c>
      <c r="B37" s="10" t="s">
        <v>21</v>
      </c>
      <c r="C37" s="11" t="s">
        <v>22</v>
      </c>
      <c r="D37" s="12">
        <v>0.0</v>
      </c>
      <c r="E37" s="12">
        <v>0.0</v>
      </c>
      <c r="F37" s="12">
        <v>0.0</v>
      </c>
      <c r="G37" s="12">
        <v>0.0</v>
      </c>
      <c r="H37" s="12">
        <v>0.0</v>
      </c>
      <c r="I37" s="12">
        <v>0.0</v>
      </c>
      <c r="J37" s="12">
        <v>0.0</v>
      </c>
      <c r="K37" s="12">
        <v>0.0</v>
      </c>
      <c r="L37" s="12">
        <v>0.0</v>
      </c>
      <c r="M37" s="12">
        <v>0.0</v>
      </c>
      <c r="N37" s="12">
        <v>0.0</v>
      </c>
      <c r="O37" s="12">
        <v>0.0</v>
      </c>
      <c r="P37" s="28">
        <f t="shared" si="5"/>
        <v>0</v>
      </c>
    </row>
    <row r="38" ht="15.75" customHeight="1">
      <c r="A38" s="9"/>
      <c r="B38" s="9"/>
      <c r="C38" s="14" t="s">
        <v>23</v>
      </c>
      <c r="D38" s="16">
        <v>0.0</v>
      </c>
      <c r="E38" s="16">
        <v>0.0</v>
      </c>
      <c r="F38" s="16">
        <v>0.0</v>
      </c>
      <c r="G38" s="16">
        <v>0.0</v>
      </c>
      <c r="H38" s="16">
        <v>0.0</v>
      </c>
      <c r="I38" s="16">
        <v>0.0</v>
      </c>
      <c r="J38" s="16">
        <v>0.0</v>
      </c>
      <c r="K38" s="16">
        <v>0.0</v>
      </c>
      <c r="L38" s="16">
        <v>0.0</v>
      </c>
      <c r="M38" s="16">
        <v>0.0</v>
      </c>
      <c r="N38" s="16">
        <v>0.0</v>
      </c>
      <c r="O38" s="16">
        <v>0.0</v>
      </c>
      <c r="P38" s="28">
        <f t="shared" si="5"/>
        <v>0</v>
      </c>
    </row>
    <row r="39" ht="15.75" customHeight="1">
      <c r="A39" s="9" t="s">
        <v>41</v>
      </c>
      <c r="B39" s="10" t="s">
        <v>26</v>
      </c>
      <c r="C39" s="11" t="s">
        <v>22</v>
      </c>
      <c r="D39" s="12">
        <v>0.0</v>
      </c>
      <c r="E39" s="12">
        <v>0.0</v>
      </c>
      <c r="F39" s="12">
        <v>0.0</v>
      </c>
      <c r="G39" s="12">
        <v>0.0</v>
      </c>
      <c r="H39" s="12">
        <v>0.0</v>
      </c>
      <c r="I39" s="12">
        <v>0.0</v>
      </c>
      <c r="J39" s="12">
        <v>0.0</v>
      </c>
      <c r="K39" s="12">
        <v>0.0</v>
      </c>
      <c r="L39" s="12">
        <v>0.0</v>
      </c>
      <c r="M39" s="12">
        <v>0.0</v>
      </c>
      <c r="N39" s="12">
        <v>0.0</v>
      </c>
      <c r="O39" s="12">
        <v>0.0</v>
      </c>
      <c r="P39" s="28">
        <f t="shared" si="5"/>
        <v>0</v>
      </c>
    </row>
    <row r="40" ht="15.75" customHeight="1">
      <c r="A40" s="9"/>
      <c r="B40" s="9"/>
      <c r="C40" s="14" t="s">
        <v>23</v>
      </c>
      <c r="D40" s="16">
        <v>0.0</v>
      </c>
      <c r="E40" s="16">
        <v>0.0</v>
      </c>
      <c r="F40" s="16">
        <v>0.0</v>
      </c>
      <c r="G40" s="16">
        <v>0.0</v>
      </c>
      <c r="H40" s="16">
        <v>0.0</v>
      </c>
      <c r="I40" s="16">
        <v>0.0</v>
      </c>
      <c r="J40" s="16">
        <v>0.0</v>
      </c>
      <c r="K40" s="16">
        <v>0.0</v>
      </c>
      <c r="L40" s="16">
        <v>0.0</v>
      </c>
      <c r="M40" s="16">
        <v>0.0</v>
      </c>
      <c r="N40" s="16">
        <v>0.0</v>
      </c>
      <c r="O40" s="16">
        <v>0.0</v>
      </c>
      <c r="P40" s="28">
        <f t="shared" si="5"/>
        <v>0</v>
      </c>
    </row>
    <row r="41" ht="15.75" customHeight="1">
      <c r="A41" s="9" t="s">
        <v>42</v>
      </c>
      <c r="B41" s="10" t="s">
        <v>26</v>
      </c>
      <c r="C41" s="11" t="s">
        <v>22</v>
      </c>
      <c r="D41" s="12">
        <v>0.0</v>
      </c>
      <c r="E41" s="12">
        <v>0.0</v>
      </c>
      <c r="F41" s="12">
        <v>0.0</v>
      </c>
      <c r="G41" s="12">
        <v>0.0</v>
      </c>
      <c r="H41" s="12">
        <v>0.0</v>
      </c>
      <c r="I41" s="12">
        <v>0.0</v>
      </c>
      <c r="J41" s="12">
        <v>0.0</v>
      </c>
      <c r="K41" s="12">
        <v>0.0</v>
      </c>
      <c r="L41" s="12">
        <v>0.0</v>
      </c>
      <c r="M41" s="12">
        <v>0.0</v>
      </c>
      <c r="N41" s="12">
        <v>0.0</v>
      </c>
      <c r="O41" s="12">
        <v>0.0</v>
      </c>
      <c r="P41" s="28">
        <f t="shared" si="5"/>
        <v>0</v>
      </c>
    </row>
    <row r="42" ht="15.75" customHeight="1">
      <c r="A42" s="9"/>
      <c r="B42" s="9"/>
      <c r="C42" s="14" t="s">
        <v>23</v>
      </c>
      <c r="D42" s="16">
        <v>0.0</v>
      </c>
      <c r="E42" s="16">
        <v>0.0</v>
      </c>
      <c r="F42" s="16">
        <v>0.0</v>
      </c>
      <c r="G42" s="16">
        <v>0.0</v>
      </c>
      <c r="H42" s="16">
        <v>0.0</v>
      </c>
      <c r="I42" s="16">
        <v>0.0</v>
      </c>
      <c r="J42" s="16">
        <v>0.0</v>
      </c>
      <c r="K42" s="16">
        <v>0.0</v>
      </c>
      <c r="L42" s="16">
        <v>0.0</v>
      </c>
      <c r="M42" s="16">
        <v>0.0</v>
      </c>
      <c r="N42" s="16">
        <v>0.0</v>
      </c>
      <c r="O42" s="16">
        <v>0.0</v>
      </c>
      <c r="P42" s="28">
        <f t="shared" si="5"/>
        <v>0</v>
      </c>
    </row>
    <row r="43" ht="15.75" customHeight="1">
      <c r="A43" s="9" t="s">
        <v>43</v>
      </c>
      <c r="B43" s="10" t="s">
        <v>26</v>
      </c>
      <c r="C43" s="11" t="s">
        <v>22</v>
      </c>
      <c r="D43" s="12">
        <v>0.0</v>
      </c>
      <c r="E43" s="12">
        <v>0.0</v>
      </c>
      <c r="F43" s="12">
        <v>0.0</v>
      </c>
      <c r="G43" s="12">
        <v>0.0</v>
      </c>
      <c r="H43" s="12">
        <v>0.0</v>
      </c>
      <c r="I43" s="12">
        <v>0.0</v>
      </c>
      <c r="J43" s="12">
        <v>0.0</v>
      </c>
      <c r="K43" s="12">
        <v>0.0</v>
      </c>
      <c r="L43" s="12">
        <v>0.0</v>
      </c>
      <c r="M43" s="12">
        <v>0.0</v>
      </c>
      <c r="N43" s="12">
        <v>0.0</v>
      </c>
      <c r="O43" s="12">
        <v>0.0</v>
      </c>
      <c r="P43" s="28">
        <f t="shared" si="5"/>
        <v>0</v>
      </c>
    </row>
    <row r="44" ht="15.75" customHeight="1">
      <c r="A44" s="9"/>
      <c r="B44" s="9"/>
      <c r="C44" s="14" t="s">
        <v>23</v>
      </c>
      <c r="D44" s="16">
        <v>0.0</v>
      </c>
      <c r="E44" s="16">
        <v>0.0</v>
      </c>
      <c r="F44" s="16">
        <v>0.0</v>
      </c>
      <c r="G44" s="16">
        <v>0.0</v>
      </c>
      <c r="H44" s="16">
        <v>0.0</v>
      </c>
      <c r="I44" s="16">
        <v>0.0</v>
      </c>
      <c r="J44" s="16">
        <v>0.0</v>
      </c>
      <c r="K44" s="16">
        <v>0.0</v>
      </c>
      <c r="L44" s="16">
        <v>0.0</v>
      </c>
      <c r="M44" s="16">
        <v>0.0</v>
      </c>
      <c r="N44" s="16">
        <v>0.0</v>
      </c>
      <c r="O44" s="16">
        <v>0.0</v>
      </c>
      <c r="P44" s="28">
        <f t="shared" si="5"/>
        <v>0</v>
      </c>
    </row>
    <row r="45" ht="15.75" customHeight="1">
      <c r="A45" s="9" t="s">
        <v>44</v>
      </c>
      <c r="B45" s="10" t="s">
        <v>26</v>
      </c>
      <c r="C45" s="11" t="s">
        <v>22</v>
      </c>
      <c r="D45" s="12">
        <v>0.0</v>
      </c>
      <c r="E45" s="12">
        <v>0.0</v>
      </c>
      <c r="F45" s="12">
        <v>0.0</v>
      </c>
      <c r="G45" s="12">
        <v>0.0</v>
      </c>
      <c r="H45" s="12">
        <v>0.0</v>
      </c>
      <c r="I45" s="12">
        <v>0.0</v>
      </c>
      <c r="J45" s="12">
        <v>0.0</v>
      </c>
      <c r="K45" s="12">
        <v>0.0</v>
      </c>
      <c r="L45" s="12">
        <v>0.0</v>
      </c>
      <c r="M45" s="12">
        <v>0.0</v>
      </c>
      <c r="N45" s="12">
        <v>0.0</v>
      </c>
      <c r="O45" s="12">
        <v>0.0</v>
      </c>
      <c r="P45" s="28">
        <f t="shared" si="5"/>
        <v>0</v>
      </c>
    </row>
    <row r="46" ht="15.75" customHeight="1">
      <c r="A46" s="9"/>
      <c r="B46" s="9"/>
      <c r="C46" s="14" t="s">
        <v>23</v>
      </c>
      <c r="D46" s="16">
        <v>0.0</v>
      </c>
      <c r="E46" s="16">
        <v>0.0</v>
      </c>
      <c r="F46" s="16">
        <v>0.0</v>
      </c>
      <c r="G46" s="16">
        <v>0.0</v>
      </c>
      <c r="H46" s="16">
        <v>0.0</v>
      </c>
      <c r="I46" s="16">
        <v>0.0</v>
      </c>
      <c r="J46" s="16">
        <v>0.0</v>
      </c>
      <c r="K46" s="16">
        <v>0.0</v>
      </c>
      <c r="L46" s="16">
        <v>0.0</v>
      </c>
      <c r="M46" s="16">
        <v>0.0</v>
      </c>
      <c r="N46" s="16">
        <v>0.0</v>
      </c>
      <c r="O46" s="16">
        <v>0.0</v>
      </c>
      <c r="P46" s="28">
        <f t="shared" si="5"/>
        <v>0</v>
      </c>
    </row>
    <row r="47" ht="15.75" customHeight="1">
      <c r="A47" s="9" t="s">
        <v>45</v>
      </c>
      <c r="B47" s="10" t="s">
        <v>26</v>
      </c>
      <c r="C47" s="11" t="s">
        <v>22</v>
      </c>
      <c r="D47" s="12">
        <v>0.0</v>
      </c>
      <c r="E47" s="12">
        <v>0.0</v>
      </c>
      <c r="F47" s="12">
        <v>0.0</v>
      </c>
      <c r="G47" s="12">
        <v>0.0</v>
      </c>
      <c r="H47" s="12">
        <v>0.0</v>
      </c>
      <c r="I47" s="12">
        <v>0.0</v>
      </c>
      <c r="J47" s="12">
        <v>0.0</v>
      </c>
      <c r="K47" s="12">
        <v>0.0</v>
      </c>
      <c r="L47" s="12">
        <v>0.0</v>
      </c>
      <c r="M47" s="12">
        <v>0.0</v>
      </c>
      <c r="N47" s="12">
        <v>0.0</v>
      </c>
      <c r="O47" s="12">
        <v>0.0</v>
      </c>
      <c r="P47" s="28">
        <f t="shared" si="5"/>
        <v>0</v>
      </c>
    </row>
    <row r="48" ht="15.75" customHeight="1">
      <c r="A48" s="9"/>
      <c r="B48" s="9"/>
      <c r="C48" s="14" t="s">
        <v>23</v>
      </c>
      <c r="D48" s="16">
        <v>0.0</v>
      </c>
      <c r="E48" s="16">
        <v>0.0</v>
      </c>
      <c r="F48" s="16">
        <v>0.0</v>
      </c>
      <c r="G48" s="16">
        <v>0.0</v>
      </c>
      <c r="H48" s="16">
        <v>0.0</v>
      </c>
      <c r="I48" s="16">
        <v>0.0</v>
      </c>
      <c r="J48" s="16">
        <v>0.0</v>
      </c>
      <c r="K48" s="16">
        <v>0.0</v>
      </c>
      <c r="L48" s="16">
        <v>0.0</v>
      </c>
      <c r="M48" s="16">
        <v>0.0</v>
      </c>
      <c r="N48" s="16">
        <v>0.0</v>
      </c>
      <c r="O48" s="16">
        <v>0.0</v>
      </c>
      <c r="P48" s="28">
        <f t="shared" si="5"/>
        <v>0</v>
      </c>
    </row>
    <row r="49" ht="15.75" customHeight="1">
      <c r="A49" s="9" t="s">
        <v>46</v>
      </c>
      <c r="B49" s="10" t="s">
        <v>21</v>
      </c>
      <c r="C49" s="11" t="s">
        <v>22</v>
      </c>
      <c r="D49" s="12">
        <v>0.0</v>
      </c>
      <c r="E49" s="12">
        <v>0.0</v>
      </c>
      <c r="F49" s="12">
        <v>0.0</v>
      </c>
      <c r="G49" s="12">
        <v>0.0</v>
      </c>
      <c r="H49" s="12">
        <v>0.0</v>
      </c>
      <c r="I49" s="12">
        <v>0.0</v>
      </c>
      <c r="J49" s="12">
        <v>0.0</v>
      </c>
      <c r="K49" s="12">
        <v>0.0</v>
      </c>
      <c r="L49" s="12">
        <v>0.0</v>
      </c>
      <c r="M49" s="12">
        <v>0.0</v>
      </c>
      <c r="N49" s="12">
        <v>0.0</v>
      </c>
      <c r="O49" s="12">
        <v>0.0</v>
      </c>
      <c r="P49" s="28">
        <f t="shared" si="5"/>
        <v>0</v>
      </c>
    </row>
    <row r="50" ht="15.75" customHeight="1">
      <c r="A50" s="9"/>
      <c r="B50" s="9"/>
      <c r="C50" s="14" t="s">
        <v>23</v>
      </c>
      <c r="D50" s="16">
        <v>0.0</v>
      </c>
      <c r="E50" s="16">
        <v>0.0</v>
      </c>
      <c r="F50" s="16">
        <v>0.0</v>
      </c>
      <c r="G50" s="16">
        <v>0.0</v>
      </c>
      <c r="H50" s="16">
        <v>0.0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16">
        <v>0.0</v>
      </c>
      <c r="O50" s="16">
        <v>0.0</v>
      </c>
      <c r="P50" s="28">
        <f t="shared" si="5"/>
        <v>0</v>
      </c>
    </row>
    <row r="51" ht="15.75" customHeight="1">
      <c r="A51" s="9" t="s">
        <v>47</v>
      </c>
      <c r="B51" s="10" t="s">
        <v>26</v>
      </c>
      <c r="C51" s="11" t="s">
        <v>22</v>
      </c>
      <c r="D51" s="12">
        <v>0.0</v>
      </c>
      <c r="E51" s="12">
        <v>0.0</v>
      </c>
      <c r="F51" s="12">
        <v>0.0</v>
      </c>
      <c r="G51" s="12">
        <v>0.0</v>
      </c>
      <c r="H51" s="12">
        <v>0.0</v>
      </c>
      <c r="I51" s="12">
        <v>0.0</v>
      </c>
      <c r="J51" s="12">
        <v>0.0</v>
      </c>
      <c r="K51" s="12">
        <v>0.0</v>
      </c>
      <c r="L51" s="12">
        <v>0.0</v>
      </c>
      <c r="M51" s="12">
        <v>0.0</v>
      </c>
      <c r="N51" s="12">
        <v>0.0</v>
      </c>
      <c r="O51" s="12">
        <v>0.0</v>
      </c>
      <c r="P51" s="28">
        <f t="shared" si="5"/>
        <v>0</v>
      </c>
    </row>
    <row r="52" ht="15.75" customHeight="1">
      <c r="A52" s="9"/>
      <c r="B52" s="9"/>
      <c r="C52" s="14" t="s">
        <v>23</v>
      </c>
      <c r="D52" s="16">
        <v>0.0</v>
      </c>
      <c r="E52" s="16">
        <v>0.0</v>
      </c>
      <c r="F52" s="16">
        <v>0.0</v>
      </c>
      <c r="G52" s="16">
        <v>0.0</v>
      </c>
      <c r="H52" s="16">
        <v>0.0</v>
      </c>
      <c r="I52" s="16">
        <v>0.0</v>
      </c>
      <c r="J52" s="16">
        <v>0.0</v>
      </c>
      <c r="K52" s="16">
        <v>0.0</v>
      </c>
      <c r="L52" s="16">
        <v>0.0</v>
      </c>
      <c r="M52" s="16">
        <v>0.0</v>
      </c>
      <c r="N52" s="16">
        <v>0.0</v>
      </c>
      <c r="O52" s="16">
        <v>0.0</v>
      </c>
      <c r="P52" s="28">
        <f t="shared" si="5"/>
        <v>0</v>
      </c>
    </row>
    <row r="53" ht="15.75" customHeight="1">
      <c r="A53" s="17" t="s">
        <v>33</v>
      </c>
      <c r="B53" s="18"/>
      <c r="C53" s="18"/>
      <c r="D53" s="19">
        <f t="shared" ref="D53:P53" si="6">D33+D35+D37+D39+D41+D43+D45+D47+D49+D51</f>
        <v>0</v>
      </c>
      <c r="E53" s="19">
        <f t="shared" si="6"/>
        <v>0</v>
      </c>
      <c r="F53" s="19">
        <f t="shared" si="6"/>
        <v>0</v>
      </c>
      <c r="G53" s="19">
        <f t="shared" si="6"/>
        <v>0</v>
      </c>
      <c r="H53" s="19">
        <f t="shared" si="6"/>
        <v>0</v>
      </c>
      <c r="I53" s="19">
        <f t="shared" si="6"/>
        <v>0</v>
      </c>
      <c r="J53" s="19">
        <f t="shared" si="6"/>
        <v>0</v>
      </c>
      <c r="K53" s="19">
        <f t="shared" si="6"/>
        <v>0</v>
      </c>
      <c r="L53" s="19">
        <f t="shared" si="6"/>
        <v>0</v>
      </c>
      <c r="M53" s="19">
        <f t="shared" si="6"/>
        <v>0</v>
      </c>
      <c r="N53" s="19">
        <f t="shared" si="6"/>
        <v>0</v>
      </c>
      <c r="O53" s="19">
        <f t="shared" si="6"/>
        <v>0</v>
      </c>
      <c r="P53" s="19">
        <f t="shared" si="6"/>
        <v>0</v>
      </c>
    </row>
    <row r="54" ht="15.75" customHeight="1">
      <c r="A54" s="20" t="s">
        <v>34</v>
      </c>
      <c r="B54" s="21"/>
      <c r="C54" s="21"/>
      <c r="D54" s="22">
        <f t="shared" ref="D54:P54" si="7">D34+D36+D38+D40+D42+D44+D46+D48+D50+D52</f>
        <v>0</v>
      </c>
      <c r="E54" s="22">
        <f t="shared" si="7"/>
        <v>250</v>
      </c>
      <c r="F54" s="22">
        <f t="shared" si="7"/>
        <v>250</v>
      </c>
      <c r="G54" s="22">
        <f t="shared" si="7"/>
        <v>250</v>
      </c>
      <c r="H54" s="22">
        <f t="shared" si="7"/>
        <v>250</v>
      </c>
      <c r="I54" s="22">
        <f t="shared" si="7"/>
        <v>187</v>
      </c>
      <c r="J54" s="22">
        <f t="shared" si="7"/>
        <v>0</v>
      </c>
      <c r="K54" s="22">
        <f t="shared" si="7"/>
        <v>0</v>
      </c>
      <c r="L54" s="22">
        <f t="shared" si="7"/>
        <v>0</v>
      </c>
      <c r="M54" s="22">
        <f t="shared" si="7"/>
        <v>0</v>
      </c>
      <c r="N54" s="22">
        <f t="shared" si="7"/>
        <v>0</v>
      </c>
      <c r="O54" s="22">
        <f t="shared" si="7"/>
        <v>0</v>
      </c>
      <c r="P54" s="22">
        <f t="shared" si="7"/>
        <v>1187</v>
      </c>
    </row>
    <row r="55" ht="15.75" customHeight="1">
      <c r="A55" s="29" t="s">
        <v>50</v>
      </c>
      <c r="B55" s="30"/>
      <c r="C55" s="30"/>
      <c r="D55" s="31">
        <f t="shared" ref="D55:P55" si="8">D53+D54</f>
        <v>0</v>
      </c>
      <c r="E55" s="31">
        <f t="shared" si="8"/>
        <v>250</v>
      </c>
      <c r="F55" s="31">
        <f t="shared" si="8"/>
        <v>250</v>
      </c>
      <c r="G55" s="31">
        <f t="shared" si="8"/>
        <v>250</v>
      </c>
      <c r="H55" s="31">
        <f t="shared" si="8"/>
        <v>250</v>
      </c>
      <c r="I55" s="31">
        <f t="shared" si="8"/>
        <v>187</v>
      </c>
      <c r="J55" s="31">
        <f t="shared" si="8"/>
        <v>0</v>
      </c>
      <c r="K55" s="31">
        <f t="shared" si="8"/>
        <v>0</v>
      </c>
      <c r="L55" s="31">
        <f t="shared" si="8"/>
        <v>0</v>
      </c>
      <c r="M55" s="31">
        <f t="shared" si="8"/>
        <v>0</v>
      </c>
      <c r="N55" s="31">
        <f t="shared" si="8"/>
        <v>0</v>
      </c>
      <c r="O55" s="31">
        <f t="shared" si="8"/>
        <v>0</v>
      </c>
      <c r="P55" s="31">
        <f t="shared" si="8"/>
        <v>1187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P1"/>
    <mergeCell ref="A5:P5"/>
    <mergeCell ref="A31:P3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2.0"/>
    <col customWidth="1" min="3" max="3" width="10.29"/>
    <col customWidth="1" min="4" max="14" width="9.0"/>
    <col customWidth="1" min="15" max="15" width="11.0"/>
    <col customWidth="1" min="16" max="26" width="8.71"/>
  </cols>
  <sheetData>
    <row r="1" ht="17.25" customHeight="1">
      <c r="A1" s="34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3">
      <c r="A3" s="4" t="s">
        <v>1</v>
      </c>
      <c r="B3" s="33">
        <f>Ingresos!B3</f>
        <v>2026</v>
      </c>
    </row>
    <row r="5" ht="15.0" customHeight="1">
      <c r="A5" s="35" t="s">
        <v>52</v>
      </c>
      <c r="B5" s="2"/>
      <c r="C5" s="2"/>
      <c r="D5" s="3"/>
    </row>
    <row r="6">
      <c r="A6" s="8" t="s">
        <v>53</v>
      </c>
      <c r="B6" s="8" t="s">
        <v>54</v>
      </c>
      <c r="C6" s="8" t="s">
        <v>55</v>
      </c>
      <c r="D6" s="8" t="s">
        <v>56</v>
      </c>
    </row>
    <row r="7">
      <c r="A7" s="36" t="s">
        <v>57</v>
      </c>
      <c r="B7" s="37">
        <v>3000.0</v>
      </c>
      <c r="C7" s="38">
        <v>10898.1</v>
      </c>
      <c r="D7" s="13">
        <f t="shared" ref="D7:D9" si="1">B7+C7</f>
        <v>13898.1</v>
      </c>
    </row>
    <row r="8">
      <c r="A8" s="39" t="s">
        <v>58</v>
      </c>
      <c r="B8" s="37">
        <v>15.0</v>
      </c>
      <c r="C8" s="38">
        <v>28.82</v>
      </c>
      <c r="D8" s="28">
        <f t="shared" si="1"/>
        <v>43.82</v>
      </c>
    </row>
    <row r="9">
      <c r="A9" s="40" t="s">
        <v>59</v>
      </c>
      <c r="B9" s="41">
        <v>0.0</v>
      </c>
      <c r="C9" s="38">
        <v>2000.0</v>
      </c>
      <c r="D9" s="42">
        <f t="shared" si="1"/>
        <v>2000</v>
      </c>
    </row>
    <row r="11" ht="15.0" customHeight="1">
      <c r="A11" s="7" t="s">
        <v>60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"/>
    </row>
    <row r="12">
      <c r="A12" s="8" t="s">
        <v>4</v>
      </c>
      <c r="B12" s="8"/>
      <c r="C12" s="8" t="s">
        <v>7</v>
      </c>
      <c r="D12" s="8" t="s">
        <v>8</v>
      </c>
      <c r="E12" s="8" t="s">
        <v>9</v>
      </c>
      <c r="F12" s="8" t="s">
        <v>10</v>
      </c>
      <c r="G12" s="8" t="s">
        <v>11</v>
      </c>
      <c r="H12" s="8" t="s">
        <v>12</v>
      </c>
      <c r="I12" s="8" t="s">
        <v>13</v>
      </c>
      <c r="J12" s="8" t="s">
        <v>14</v>
      </c>
      <c r="K12" s="8" t="s">
        <v>15</v>
      </c>
      <c r="L12" s="8" t="s">
        <v>16</v>
      </c>
      <c r="M12" s="8" t="s">
        <v>17</v>
      </c>
      <c r="N12" s="8" t="s">
        <v>18</v>
      </c>
      <c r="O12" s="8" t="s">
        <v>19</v>
      </c>
    </row>
    <row r="13">
      <c r="A13" s="9" t="s">
        <v>61</v>
      </c>
      <c r="B13" s="9"/>
      <c r="C13" s="43">
        <f>Ingresos!D19</f>
        <v>49</v>
      </c>
      <c r="D13" s="43">
        <f>Ingresos!E19</f>
        <v>0</v>
      </c>
      <c r="E13" s="43">
        <f>Ingresos!F19</f>
        <v>0</v>
      </c>
      <c r="F13" s="43">
        <f>Ingresos!G19</f>
        <v>0</v>
      </c>
      <c r="G13" s="43">
        <f>Ingresos!H19</f>
        <v>0</v>
      </c>
      <c r="H13" s="43">
        <f>Ingresos!I19</f>
        <v>0</v>
      </c>
      <c r="I13" s="43">
        <f>Ingresos!J19</f>
        <v>0</v>
      </c>
      <c r="J13" s="43">
        <f>Ingresos!K19</f>
        <v>0</v>
      </c>
      <c r="K13" s="43">
        <f>Ingresos!L19</f>
        <v>0</v>
      </c>
      <c r="L13" s="43">
        <f>Ingresos!M19</f>
        <v>0</v>
      </c>
      <c r="M13" s="43">
        <f>Ingresos!N19</f>
        <v>0</v>
      </c>
      <c r="N13" s="43">
        <f>Ingresos!O19</f>
        <v>0</v>
      </c>
      <c r="O13" s="44">
        <f>Ingresos!P19</f>
        <v>49</v>
      </c>
    </row>
    <row r="14">
      <c r="A14" s="9" t="s">
        <v>62</v>
      </c>
      <c r="B14" s="9"/>
      <c r="C14" s="43">
        <f>Gastos!D29</f>
        <v>0</v>
      </c>
      <c r="D14" s="43">
        <f>Gastos!E29</f>
        <v>250</v>
      </c>
      <c r="E14" s="43">
        <f>Gastos!F29</f>
        <v>250</v>
      </c>
      <c r="F14" s="43">
        <f>Gastos!G29</f>
        <v>250</v>
      </c>
      <c r="G14" s="43">
        <f>Gastos!H29</f>
        <v>250</v>
      </c>
      <c r="H14" s="43">
        <f>Gastos!I29</f>
        <v>188</v>
      </c>
      <c r="I14" s="43">
        <f>Gastos!J29</f>
        <v>0</v>
      </c>
      <c r="J14" s="43">
        <f>Gastos!K29</f>
        <v>0</v>
      </c>
      <c r="K14" s="43">
        <f>Gastos!L29</f>
        <v>0</v>
      </c>
      <c r="L14" s="43">
        <f>Gastos!M29</f>
        <v>0</v>
      </c>
      <c r="M14" s="43">
        <f>Gastos!N29</f>
        <v>0</v>
      </c>
      <c r="N14" s="43">
        <f>Gastos!O29</f>
        <v>0</v>
      </c>
      <c r="O14" s="44">
        <f>Gastos!P29</f>
        <v>1188</v>
      </c>
    </row>
    <row r="15">
      <c r="A15" s="45" t="s">
        <v>63</v>
      </c>
      <c r="B15" s="46"/>
      <c r="C15" s="47">
        <f t="shared" ref="C15:O15" si="2">C13-C14</f>
        <v>49</v>
      </c>
      <c r="D15" s="47">
        <f t="shared" si="2"/>
        <v>-250</v>
      </c>
      <c r="E15" s="47">
        <f t="shared" si="2"/>
        <v>-250</v>
      </c>
      <c r="F15" s="47">
        <f t="shared" si="2"/>
        <v>-250</v>
      </c>
      <c r="G15" s="47">
        <f t="shared" si="2"/>
        <v>-250</v>
      </c>
      <c r="H15" s="47">
        <f t="shared" si="2"/>
        <v>-188</v>
      </c>
      <c r="I15" s="47">
        <f t="shared" si="2"/>
        <v>0</v>
      </c>
      <c r="J15" s="47">
        <f t="shared" si="2"/>
        <v>0</v>
      </c>
      <c r="K15" s="47">
        <f t="shared" si="2"/>
        <v>0</v>
      </c>
      <c r="L15" s="47">
        <f t="shared" si="2"/>
        <v>0</v>
      </c>
      <c r="M15" s="47">
        <f t="shared" si="2"/>
        <v>0</v>
      </c>
      <c r="N15" s="47">
        <f t="shared" si="2"/>
        <v>0</v>
      </c>
      <c r="O15" s="47">
        <f t="shared" si="2"/>
        <v>-1139</v>
      </c>
    </row>
    <row r="16">
      <c r="A16" s="40" t="s">
        <v>64</v>
      </c>
      <c r="B16" s="40"/>
      <c r="C16" s="48">
        <v>0.0</v>
      </c>
      <c r="D16" s="48">
        <v>0.0</v>
      </c>
      <c r="E16" s="48">
        <v>0.0</v>
      </c>
      <c r="F16" s="48">
        <v>0.0</v>
      </c>
      <c r="G16" s="48">
        <v>0.0</v>
      </c>
      <c r="H16" s="48">
        <v>0.0</v>
      </c>
      <c r="I16" s="48">
        <v>0.0</v>
      </c>
      <c r="J16" s="48">
        <v>0.0</v>
      </c>
      <c r="K16" s="48">
        <v>0.0</v>
      </c>
      <c r="L16" s="48">
        <v>0.0</v>
      </c>
      <c r="M16" s="48">
        <v>0.0</v>
      </c>
      <c r="N16" s="48">
        <v>0.0</v>
      </c>
      <c r="O16" s="42">
        <f>SUM(C16:N16)</f>
        <v>0</v>
      </c>
    </row>
    <row r="17">
      <c r="A17" s="49" t="s">
        <v>65</v>
      </c>
      <c r="B17" s="24"/>
      <c r="C17" s="50">
        <f>$D$7+C15-C16</f>
        <v>13947.1</v>
      </c>
      <c r="D17" s="50">
        <f t="shared" ref="D17:N17" si="3">C17+D15-D16</f>
        <v>13697.1</v>
      </c>
      <c r="E17" s="50">
        <f t="shared" si="3"/>
        <v>13447.1</v>
      </c>
      <c r="F17" s="50">
        <f t="shared" si="3"/>
        <v>13197.1</v>
      </c>
      <c r="G17" s="50">
        <f t="shared" si="3"/>
        <v>12947.1</v>
      </c>
      <c r="H17" s="50">
        <f t="shared" si="3"/>
        <v>12759.1</v>
      </c>
      <c r="I17" s="50">
        <f t="shared" si="3"/>
        <v>12759.1</v>
      </c>
      <c r="J17" s="50">
        <f t="shared" si="3"/>
        <v>12759.1</v>
      </c>
      <c r="K17" s="50">
        <f t="shared" si="3"/>
        <v>12759.1</v>
      </c>
      <c r="L17" s="50">
        <f t="shared" si="3"/>
        <v>12759.1</v>
      </c>
      <c r="M17" s="50">
        <f t="shared" si="3"/>
        <v>12759.1</v>
      </c>
      <c r="N17" s="50">
        <f t="shared" si="3"/>
        <v>12759.1</v>
      </c>
      <c r="O17" s="50">
        <f>N17</f>
        <v>12759.1</v>
      </c>
    </row>
    <row r="19" ht="15.0" customHeight="1">
      <c r="A19" s="26" t="s">
        <v>66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</row>
    <row r="20">
      <c r="A20" s="8" t="s">
        <v>4</v>
      </c>
      <c r="B20" s="8"/>
      <c r="C20" s="8" t="s">
        <v>7</v>
      </c>
      <c r="D20" s="8" t="s">
        <v>8</v>
      </c>
      <c r="E20" s="8" t="s">
        <v>9</v>
      </c>
      <c r="F20" s="8" t="s">
        <v>10</v>
      </c>
      <c r="G20" s="8" t="s">
        <v>11</v>
      </c>
      <c r="H20" s="8" t="s">
        <v>12</v>
      </c>
      <c r="I20" s="8" t="s">
        <v>13</v>
      </c>
      <c r="J20" s="8" t="s">
        <v>14</v>
      </c>
      <c r="K20" s="8" t="s">
        <v>15</v>
      </c>
      <c r="L20" s="8" t="s">
        <v>16</v>
      </c>
      <c r="M20" s="8" t="s">
        <v>17</v>
      </c>
      <c r="N20" s="8" t="s">
        <v>18</v>
      </c>
      <c r="O20" s="8" t="s">
        <v>19</v>
      </c>
    </row>
    <row r="21" ht="15.75" customHeight="1">
      <c r="A21" s="9" t="s">
        <v>61</v>
      </c>
      <c r="B21" s="9"/>
      <c r="C21" s="43">
        <f>Ingresos!D35</f>
        <v>881.44</v>
      </c>
      <c r="D21" s="43">
        <f>Ingresos!E35</f>
        <v>881.44</v>
      </c>
      <c r="E21" s="43">
        <f>Ingresos!F35</f>
        <v>4681.44</v>
      </c>
      <c r="F21" s="43">
        <f>Ingresos!G35</f>
        <v>4681.44</v>
      </c>
      <c r="G21" s="43">
        <f>Ingresos!H35</f>
        <v>4681.44</v>
      </c>
      <c r="H21" s="43">
        <f>Ingresos!I35</f>
        <v>4681.44</v>
      </c>
      <c r="I21" s="43">
        <f>Ingresos!J35</f>
        <v>3500</v>
      </c>
      <c r="J21" s="43">
        <f>Ingresos!K35</f>
        <v>3500</v>
      </c>
      <c r="K21" s="43">
        <f>Ingresos!L35</f>
        <v>3500</v>
      </c>
      <c r="L21" s="43">
        <f>Ingresos!M35</f>
        <v>3500</v>
      </c>
      <c r="M21" s="43">
        <f>Ingresos!N35</f>
        <v>3500</v>
      </c>
      <c r="N21" s="43">
        <f>Ingresos!O35</f>
        <v>3500</v>
      </c>
      <c r="O21" s="44">
        <f>Ingresos!P35</f>
        <v>41488.64</v>
      </c>
    </row>
    <row r="22" ht="15.75" customHeight="1">
      <c r="A22" s="9" t="s">
        <v>62</v>
      </c>
      <c r="B22" s="9"/>
      <c r="C22" s="43">
        <f>Gastos!D55</f>
        <v>0</v>
      </c>
      <c r="D22" s="43">
        <f>Gastos!E55</f>
        <v>250</v>
      </c>
      <c r="E22" s="43">
        <f>Gastos!F55</f>
        <v>250</v>
      </c>
      <c r="F22" s="43">
        <f>Gastos!G55</f>
        <v>250</v>
      </c>
      <c r="G22" s="43">
        <f>Gastos!H55</f>
        <v>250</v>
      </c>
      <c r="H22" s="43">
        <f>Gastos!I55</f>
        <v>187</v>
      </c>
      <c r="I22" s="43">
        <f>Gastos!J55</f>
        <v>0</v>
      </c>
      <c r="J22" s="43">
        <f>Gastos!K55</f>
        <v>0</v>
      </c>
      <c r="K22" s="43">
        <f>Gastos!L55</f>
        <v>0</v>
      </c>
      <c r="L22" s="43">
        <f>Gastos!M55</f>
        <v>0</v>
      </c>
      <c r="M22" s="43">
        <f>Gastos!N55</f>
        <v>0</v>
      </c>
      <c r="N22" s="43">
        <f>Gastos!O55</f>
        <v>0</v>
      </c>
      <c r="O22" s="44">
        <f>Gastos!P55</f>
        <v>1187</v>
      </c>
    </row>
    <row r="23" ht="15.75" customHeight="1">
      <c r="A23" s="51" t="s">
        <v>63</v>
      </c>
      <c r="B23" s="52"/>
      <c r="C23" s="53">
        <f t="shared" ref="C23:O23" si="4">C21-C22</f>
        <v>881.44</v>
      </c>
      <c r="D23" s="53">
        <f t="shared" si="4"/>
        <v>631.44</v>
      </c>
      <c r="E23" s="53">
        <f t="shared" si="4"/>
        <v>4431.44</v>
      </c>
      <c r="F23" s="53">
        <f t="shared" si="4"/>
        <v>4431.44</v>
      </c>
      <c r="G23" s="53">
        <f t="shared" si="4"/>
        <v>4431.44</v>
      </c>
      <c r="H23" s="53">
        <f t="shared" si="4"/>
        <v>4494.44</v>
      </c>
      <c r="I23" s="53">
        <f t="shared" si="4"/>
        <v>3500</v>
      </c>
      <c r="J23" s="53">
        <f t="shared" si="4"/>
        <v>3500</v>
      </c>
      <c r="K23" s="53">
        <f t="shared" si="4"/>
        <v>3500</v>
      </c>
      <c r="L23" s="53">
        <f t="shared" si="4"/>
        <v>3500</v>
      </c>
      <c r="M23" s="53">
        <f t="shared" si="4"/>
        <v>3500</v>
      </c>
      <c r="N23" s="53">
        <f t="shared" si="4"/>
        <v>3500</v>
      </c>
      <c r="O23" s="53">
        <f t="shared" si="4"/>
        <v>40301.64</v>
      </c>
    </row>
    <row r="24" ht="15.75" customHeight="1">
      <c r="A24" s="40" t="s">
        <v>64</v>
      </c>
      <c r="B24" s="40"/>
      <c r="C24" s="48">
        <v>0.0</v>
      </c>
      <c r="D24" s="48">
        <v>0.0</v>
      </c>
      <c r="E24" s="48">
        <v>0.0</v>
      </c>
      <c r="F24" s="48">
        <v>0.0</v>
      </c>
      <c r="G24" s="48">
        <v>0.0</v>
      </c>
      <c r="H24" s="48">
        <v>0.0</v>
      </c>
      <c r="I24" s="48">
        <v>0.0</v>
      </c>
      <c r="J24" s="48">
        <v>0.0</v>
      </c>
      <c r="K24" s="48">
        <v>0.0</v>
      </c>
      <c r="L24" s="48">
        <v>0.0</v>
      </c>
      <c r="M24" s="48">
        <v>0.0</v>
      </c>
      <c r="N24" s="48">
        <v>0.0</v>
      </c>
      <c r="O24" s="42">
        <f>SUM(C24:N24)</f>
        <v>0</v>
      </c>
    </row>
    <row r="25" ht="15.75" customHeight="1">
      <c r="A25" s="54" t="s">
        <v>67</v>
      </c>
      <c r="B25" s="30"/>
      <c r="C25" s="55">
        <f>$D$8+C23-C24</f>
        <v>925.26</v>
      </c>
      <c r="D25" s="55">
        <f t="shared" ref="D25:N25" si="5">C25+D23-D24</f>
        <v>1556.7</v>
      </c>
      <c r="E25" s="55">
        <f t="shared" si="5"/>
        <v>5988.14</v>
      </c>
      <c r="F25" s="55">
        <f t="shared" si="5"/>
        <v>10419.58</v>
      </c>
      <c r="G25" s="55">
        <f t="shared" si="5"/>
        <v>14851.02</v>
      </c>
      <c r="H25" s="55">
        <f t="shared" si="5"/>
        <v>19345.46</v>
      </c>
      <c r="I25" s="55">
        <f t="shared" si="5"/>
        <v>22845.46</v>
      </c>
      <c r="J25" s="55">
        <f t="shared" si="5"/>
        <v>26345.46</v>
      </c>
      <c r="K25" s="55">
        <f t="shared" si="5"/>
        <v>29845.46</v>
      </c>
      <c r="L25" s="55">
        <f t="shared" si="5"/>
        <v>33345.46</v>
      </c>
      <c r="M25" s="55">
        <f t="shared" si="5"/>
        <v>36845.46</v>
      </c>
      <c r="N25" s="55">
        <f t="shared" si="5"/>
        <v>40345.46</v>
      </c>
      <c r="O25" s="55">
        <f>N25</f>
        <v>40345.46</v>
      </c>
    </row>
    <row r="26" ht="15.75" customHeight="1"/>
    <row r="27" ht="15.0" customHeight="1">
      <c r="A27" s="56" t="s">
        <v>68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</row>
    <row r="28" ht="15.75" customHeight="1">
      <c r="A28" s="8" t="s">
        <v>4</v>
      </c>
      <c r="B28" s="8"/>
      <c r="C28" s="8" t="s">
        <v>7</v>
      </c>
      <c r="D28" s="8" t="s">
        <v>8</v>
      </c>
      <c r="E28" s="8" t="s">
        <v>9</v>
      </c>
      <c r="F28" s="8" t="s">
        <v>10</v>
      </c>
      <c r="G28" s="8" t="s">
        <v>11</v>
      </c>
      <c r="H28" s="8" t="s">
        <v>12</v>
      </c>
      <c r="I28" s="8" t="s">
        <v>13</v>
      </c>
      <c r="J28" s="8" t="s">
        <v>14</v>
      </c>
      <c r="K28" s="8" t="s">
        <v>15</v>
      </c>
      <c r="L28" s="8" t="s">
        <v>16</v>
      </c>
      <c r="M28" s="8" t="s">
        <v>17</v>
      </c>
      <c r="N28" s="8" t="s">
        <v>18</v>
      </c>
      <c r="O28" s="8" t="s">
        <v>19</v>
      </c>
    </row>
    <row r="29" ht="15.75" customHeight="1">
      <c r="A29" s="36" t="s">
        <v>69</v>
      </c>
      <c r="B29" s="9"/>
      <c r="C29" s="43">
        <f t="shared" ref="C29:O29" si="6">C16</f>
        <v>0</v>
      </c>
      <c r="D29" s="43">
        <f t="shared" si="6"/>
        <v>0</v>
      </c>
      <c r="E29" s="43">
        <f t="shared" si="6"/>
        <v>0</v>
      </c>
      <c r="F29" s="43">
        <f t="shared" si="6"/>
        <v>0</v>
      </c>
      <c r="G29" s="43">
        <f t="shared" si="6"/>
        <v>0</v>
      </c>
      <c r="H29" s="43">
        <f t="shared" si="6"/>
        <v>0</v>
      </c>
      <c r="I29" s="43">
        <f t="shared" si="6"/>
        <v>0</v>
      </c>
      <c r="J29" s="43">
        <f t="shared" si="6"/>
        <v>0</v>
      </c>
      <c r="K29" s="43">
        <f t="shared" si="6"/>
        <v>0</v>
      </c>
      <c r="L29" s="43">
        <f t="shared" si="6"/>
        <v>0</v>
      </c>
      <c r="M29" s="43">
        <f t="shared" si="6"/>
        <v>0</v>
      </c>
      <c r="N29" s="43">
        <f t="shared" si="6"/>
        <v>0</v>
      </c>
      <c r="O29" s="43">
        <f t="shared" si="6"/>
        <v>0</v>
      </c>
    </row>
    <row r="30" ht="15.75" customHeight="1">
      <c r="A30" s="39" t="s">
        <v>70</v>
      </c>
      <c r="B30" s="9"/>
      <c r="C30" s="43">
        <f t="shared" ref="C30:O30" si="7">C24</f>
        <v>0</v>
      </c>
      <c r="D30" s="43">
        <f t="shared" si="7"/>
        <v>0</v>
      </c>
      <c r="E30" s="43">
        <f t="shared" si="7"/>
        <v>0</v>
      </c>
      <c r="F30" s="43">
        <f t="shared" si="7"/>
        <v>0</v>
      </c>
      <c r="G30" s="43">
        <f t="shared" si="7"/>
        <v>0</v>
      </c>
      <c r="H30" s="43">
        <f t="shared" si="7"/>
        <v>0</v>
      </c>
      <c r="I30" s="43">
        <f t="shared" si="7"/>
        <v>0</v>
      </c>
      <c r="J30" s="43">
        <f t="shared" si="7"/>
        <v>0</v>
      </c>
      <c r="K30" s="43">
        <f t="shared" si="7"/>
        <v>0</v>
      </c>
      <c r="L30" s="43">
        <f t="shared" si="7"/>
        <v>0</v>
      </c>
      <c r="M30" s="43">
        <f t="shared" si="7"/>
        <v>0</v>
      </c>
      <c r="N30" s="43">
        <f t="shared" si="7"/>
        <v>0</v>
      </c>
      <c r="O30" s="43">
        <f t="shared" si="7"/>
        <v>0</v>
      </c>
    </row>
    <row r="31" ht="15.75" customHeight="1">
      <c r="A31" s="9" t="s">
        <v>71</v>
      </c>
      <c r="B31" s="9"/>
      <c r="C31" s="57">
        <v>0.0</v>
      </c>
      <c r="D31" s="57">
        <v>0.0</v>
      </c>
      <c r="E31" s="57">
        <v>0.0</v>
      </c>
      <c r="F31" s="57">
        <v>0.0</v>
      </c>
      <c r="G31" s="57">
        <v>0.0</v>
      </c>
      <c r="H31" s="57">
        <v>0.0</v>
      </c>
      <c r="I31" s="57">
        <v>0.0</v>
      </c>
      <c r="J31" s="57">
        <v>0.0</v>
      </c>
      <c r="K31" s="57">
        <v>0.0</v>
      </c>
      <c r="L31" s="57">
        <v>0.0</v>
      </c>
      <c r="M31" s="57">
        <v>0.0</v>
      </c>
      <c r="N31" s="57">
        <v>0.0</v>
      </c>
      <c r="O31" s="42">
        <f>SUM(C31:N31)</f>
        <v>0</v>
      </c>
    </row>
    <row r="32" ht="15.75" customHeight="1">
      <c r="A32" s="58" t="s">
        <v>72</v>
      </c>
      <c r="B32" s="59"/>
      <c r="C32" s="60">
        <f>$D$9+C29+C30+C31</f>
        <v>2000</v>
      </c>
      <c r="D32" s="60">
        <f t="shared" ref="D32:N32" si="8">C32+D29+D30+D31</f>
        <v>2000</v>
      </c>
      <c r="E32" s="60">
        <f t="shared" si="8"/>
        <v>2000</v>
      </c>
      <c r="F32" s="60">
        <f t="shared" si="8"/>
        <v>2000</v>
      </c>
      <c r="G32" s="60">
        <f t="shared" si="8"/>
        <v>2000</v>
      </c>
      <c r="H32" s="60">
        <f t="shared" si="8"/>
        <v>2000</v>
      </c>
      <c r="I32" s="60">
        <f t="shared" si="8"/>
        <v>2000</v>
      </c>
      <c r="J32" s="60">
        <f t="shared" si="8"/>
        <v>2000</v>
      </c>
      <c r="K32" s="60">
        <f t="shared" si="8"/>
        <v>2000</v>
      </c>
      <c r="L32" s="60">
        <f t="shared" si="8"/>
        <v>2000</v>
      </c>
      <c r="M32" s="60">
        <f t="shared" si="8"/>
        <v>2000</v>
      </c>
      <c r="N32" s="60">
        <f t="shared" si="8"/>
        <v>2000</v>
      </c>
      <c r="O32" s="60">
        <f>N32</f>
        <v>2000</v>
      </c>
    </row>
    <row r="33" ht="15.75" customHeight="1"/>
    <row r="34" ht="15.0" customHeight="1">
      <c r="A34" s="61" t="s">
        <v>73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</row>
    <row r="35" ht="15.75" customHeight="1">
      <c r="A35" s="8"/>
      <c r="B35" s="8"/>
      <c r="C35" s="8" t="s">
        <v>7</v>
      </c>
      <c r="D35" s="8" t="s">
        <v>8</v>
      </c>
      <c r="E35" s="8" t="s">
        <v>9</v>
      </c>
      <c r="F35" s="8" t="s">
        <v>10</v>
      </c>
      <c r="G35" s="8" t="s">
        <v>11</v>
      </c>
      <c r="H35" s="8" t="s">
        <v>12</v>
      </c>
      <c r="I35" s="8" t="s">
        <v>13</v>
      </c>
      <c r="J35" s="8" t="s">
        <v>14</v>
      </c>
      <c r="K35" s="8" t="s">
        <v>15</v>
      </c>
      <c r="L35" s="8" t="s">
        <v>16</v>
      </c>
      <c r="M35" s="8" t="s">
        <v>17</v>
      </c>
      <c r="N35" s="8" t="s">
        <v>18</v>
      </c>
      <c r="O35" s="8" t="s">
        <v>74</v>
      </c>
    </row>
    <row r="36" ht="15.75" customHeight="1">
      <c r="A36" s="36" t="s">
        <v>75</v>
      </c>
      <c r="B36" s="9"/>
      <c r="C36" s="13">
        <f t="shared" ref="C36:O36" si="9">C17</f>
        <v>13947.1</v>
      </c>
      <c r="D36" s="13">
        <f t="shared" si="9"/>
        <v>13697.1</v>
      </c>
      <c r="E36" s="13">
        <f t="shared" si="9"/>
        <v>13447.1</v>
      </c>
      <c r="F36" s="13">
        <f t="shared" si="9"/>
        <v>13197.1</v>
      </c>
      <c r="G36" s="13">
        <f t="shared" si="9"/>
        <v>12947.1</v>
      </c>
      <c r="H36" s="13">
        <f t="shared" si="9"/>
        <v>12759.1</v>
      </c>
      <c r="I36" s="13">
        <f t="shared" si="9"/>
        <v>12759.1</v>
      </c>
      <c r="J36" s="13">
        <f t="shared" si="9"/>
        <v>12759.1</v>
      </c>
      <c r="K36" s="13">
        <f t="shared" si="9"/>
        <v>12759.1</v>
      </c>
      <c r="L36" s="13">
        <f t="shared" si="9"/>
        <v>12759.1</v>
      </c>
      <c r="M36" s="13">
        <f t="shared" si="9"/>
        <v>12759.1</v>
      </c>
      <c r="N36" s="13">
        <f t="shared" si="9"/>
        <v>12759.1</v>
      </c>
      <c r="O36" s="13">
        <f t="shared" si="9"/>
        <v>12759.1</v>
      </c>
    </row>
    <row r="37" ht="15.75" customHeight="1">
      <c r="A37" s="39" t="s">
        <v>76</v>
      </c>
      <c r="B37" s="9"/>
      <c r="C37" s="28">
        <f t="shared" ref="C37:O37" si="10">C25</f>
        <v>925.26</v>
      </c>
      <c r="D37" s="28">
        <f t="shared" si="10"/>
        <v>1556.7</v>
      </c>
      <c r="E37" s="28">
        <f t="shared" si="10"/>
        <v>5988.14</v>
      </c>
      <c r="F37" s="28">
        <f t="shared" si="10"/>
        <v>10419.58</v>
      </c>
      <c r="G37" s="28">
        <f t="shared" si="10"/>
        <v>14851.02</v>
      </c>
      <c r="H37" s="28">
        <f t="shared" si="10"/>
        <v>19345.46</v>
      </c>
      <c r="I37" s="28">
        <f t="shared" si="10"/>
        <v>22845.46</v>
      </c>
      <c r="J37" s="28">
        <f t="shared" si="10"/>
        <v>26345.46</v>
      </c>
      <c r="K37" s="28">
        <f t="shared" si="10"/>
        <v>29845.46</v>
      </c>
      <c r="L37" s="28">
        <f t="shared" si="10"/>
        <v>33345.46</v>
      </c>
      <c r="M37" s="28">
        <f t="shared" si="10"/>
        <v>36845.46</v>
      </c>
      <c r="N37" s="28">
        <f t="shared" si="10"/>
        <v>40345.46</v>
      </c>
      <c r="O37" s="28">
        <f t="shared" si="10"/>
        <v>40345.46</v>
      </c>
    </row>
    <row r="38" ht="15.75" customHeight="1">
      <c r="A38" s="40" t="s">
        <v>77</v>
      </c>
      <c r="B38" s="9"/>
      <c r="C38" s="42">
        <f t="shared" ref="C38:O38" si="11">C32</f>
        <v>2000</v>
      </c>
      <c r="D38" s="42">
        <f t="shared" si="11"/>
        <v>2000</v>
      </c>
      <c r="E38" s="42">
        <f t="shared" si="11"/>
        <v>2000</v>
      </c>
      <c r="F38" s="42">
        <f t="shared" si="11"/>
        <v>2000</v>
      </c>
      <c r="G38" s="42">
        <f t="shared" si="11"/>
        <v>2000</v>
      </c>
      <c r="H38" s="42">
        <f t="shared" si="11"/>
        <v>2000</v>
      </c>
      <c r="I38" s="42">
        <f t="shared" si="11"/>
        <v>2000</v>
      </c>
      <c r="J38" s="42">
        <f t="shared" si="11"/>
        <v>2000</v>
      </c>
      <c r="K38" s="42">
        <f t="shared" si="11"/>
        <v>2000</v>
      </c>
      <c r="L38" s="42">
        <f t="shared" si="11"/>
        <v>2000</v>
      </c>
      <c r="M38" s="42">
        <f t="shared" si="11"/>
        <v>2000</v>
      </c>
      <c r="N38" s="42">
        <f t="shared" si="11"/>
        <v>2000</v>
      </c>
      <c r="O38" s="42">
        <f t="shared" si="11"/>
        <v>2000</v>
      </c>
    </row>
    <row r="39" ht="15.75" customHeight="1">
      <c r="A39" s="62" t="s">
        <v>78</v>
      </c>
      <c r="B39" s="63"/>
      <c r="C39" s="64">
        <f t="shared" ref="C39:O39" si="12">C36+C37+C38</f>
        <v>16872.36</v>
      </c>
      <c r="D39" s="64">
        <f t="shared" si="12"/>
        <v>17253.8</v>
      </c>
      <c r="E39" s="64">
        <f t="shared" si="12"/>
        <v>21435.24</v>
      </c>
      <c r="F39" s="64">
        <f t="shared" si="12"/>
        <v>25616.68</v>
      </c>
      <c r="G39" s="64">
        <f t="shared" si="12"/>
        <v>29798.12</v>
      </c>
      <c r="H39" s="64">
        <f t="shared" si="12"/>
        <v>34104.56</v>
      </c>
      <c r="I39" s="64">
        <f t="shared" si="12"/>
        <v>37604.56</v>
      </c>
      <c r="J39" s="64">
        <f t="shared" si="12"/>
        <v>41104.56</v>
      </c>
      <c r="K39" s="64">
        <f t="shared" si="12"/>
        <v>44604.56</v>
      </c>
      <c r="L39" s="64">
        <f t="shared" si="12"/>
        <v>48104.56</v>
      </c>
      <c r="M39" s="64">
        <f t="shared" si="12"/>
        <v>51604.56</v>
      </c>
      <c r="N39" s="64">
        <f t="shared" si="12"/>
        <v>55104.56</v>
      </c>
      <c r="O39" s="64">
        <f t="shared" si="12"/>
        <v>55104.56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P1"/>
    <mergeCell ref="A5:D5"/>
    <mergeCell ref="A11:P11"/>
    <mergeCell ref="A19:P19"/>
    <mergeCell ref="A27:P27"/>
    <mergeCell ref="A34:O3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6.0"/>
    <col customWidth="1" min="3" max="3" width="18.0"/>
    <col customWidth="1" min="4" max="4" width="12.0"/>
    <col customWidth="1" min="5" max="26" width="8.71"/>
  </cols>
  <sheetData>
    <row r="1" ht="17.25" customHeight="1">
      <c r="A1" s="1" t="s">
        <v>79</v>
      </c>
      <c r="B1" s="2"/>
      <c r="C1" s="2"/>
      <c r="D1" s="3"/>
    </row>
    <row r="3" ht="15.0" customHeight="1">
      <c r="A3" s="56" t="s">
        <v>80</v>
      </c>
      <c r="B3" s="2"/>
      <c r="C3" s="2"/>
      <c r="D3" s="3"/>
    </row>
    <row r="4">
      <c r="A4" s="36" t="s">
        <v>81</v>
      </c>
      <c r="B4" s="44">
        <f>'Balance y Saldos'!O17</f>
        <v>12759.1</v>
      </c>
    </row>
    <row r="5">
      <c r="A5" s="39" t="s">
        <v>82</v>
      </c>
      <c r="B5" s="44">
        <f>'Balance y Saldos'!O25</f>
        <v>40345.46</v>
      </c>
    </row>
    <row r="6">
      <c r="A6" s="40" t="s">
        <v>83</v>
      </c>
      <c r="B6" s="44">
        <f>'Balance y Saldos'!O32</f>
        <v>2000</v>
      </c>
    </row>
    <row r="7">
      <c r="A7" s="65" t="s">
        <v>84</v>
      </c>
      <c r="B7" s="66">
        <f>'Balance y Saldos'!O39</f>
        <v>55104.56</v>
      </c>
    </row>
    <row r="9" ht="15.0" customHeight="1">
      <c r="A9" s="26" t="s">
        <v>85</v>
      </c>
      <c r="B9" s="2"/>
      <c r="C9" s="2"/>
      <c r="D9" s="3"/>
    </row>
    <row r="10">
      <c r="A10" s="9" t="s">
        <v>86</v>
      </c>
      <c r="B10" s="67">
        <v>299000.0</v>
      </c>
    </row>
    <row r="11">
      <c r="A11" s="9" t="s">
        <v>5</v>
      </c>
      <c r="B11" s="5" t="s">
        <v>87</v>
      </c>
      <c r="C11" s="6" t="s">
        <v>88</v>
      </c>
    </row>
    <row r="12">
      <c r="A12" s="9" t="s">
        <v>89</v>
      </c>
      <c r="B12" s="68" t="s">
        <v>90</v>
      </c>
      <c r="C12" s="6" t="s">
        <v>91</v>
      </c>
    </row>
    <row r="14" ht="15.0" customHeight="1">
      <c r="A14" s="61" t="s">
        <v>92</v>
      </c>
      <c r="B14" s="2"/>
      <c r="C14" s="2"/>
      <c r="D14" s="3"/>
    </row>
    <row r="15">
      <c r="A15" s="9" t="s">
        <v>93</v>
      </c>
      <c r="B15" s="69">
        <f>IF(B12="Sí",B10*0.06,B10*0.1)</f>
        <v>17940</v>
      </c>
    </row>
    <row r="16">
      <c r="A16" s="9" t="s">
        <v>94</v>
      </c>
      <c r="B16" s="70">
        <f>IF(B11="Nueva",B10*0.1,0)</f>
        <v>29900</v>
      </c>
    </row>
    <row r="17">
      <c r="A17" s="9" t="s">
        <v>95</v>
      </c>
      <c r="B17" s="70">
        <f>IF(B11="Nueva",B10*0.015,0)</f>
        <v>4485</v>
      </c>
    </row>
    <row r="18">
      <c r="A18" s="9" t="s">
        <v>96</v>
      </c>
      <c r="B18" s="71">
        <v>1800.0</v>
      </c>
    </row>
    <row r="19">
      <c r="A19" s="9" t="s">
        <v>97</v>
      </c>
      <c r="B19" s="71">
        <v>400.0</v>
      </c>
    </row>
    <row r="20">
      <c r="A20" s="72" t="s">
        <v>98</v>
      </c>
      <c r="B20" s="73">
        <f>B15+B16+B17+B18+B19</f>
        <v>54525</v>
      </c>
    </row>
    <row r="21" ht="15.75" customHeight="1"/>
    <row r="22" ht="15.0" customHeight="1">
      <c r="A22" s="7" t="s">
        <v>99</v>
      </c>
      <c r="B22" s="2"/>
      <c r="C22" s="2"/>
      <c r="D22" s="3"/>
    </row>
    <row r="23" ht="15.75" customHeight="1">
      <c r="A23" s="9" t="s">
        <v>100</v>
      </c>
      <c r="B23" s="74">
        <v>0.8</v>
      </c>
    </row>
    <row r="24" ht="15.75" customHeight="1">
      <c r="A24" s="9" t="s">
        <v>101</v>
      </c>
      <c r="B24" s="70">
        <f>B10*B23</f>
        <v>239200</v>
      </c>
    </row>
    <row r="25" ht="15.75" customHeight="1">
      <c r="A25" s="75" t="s">
        <v>102</v>
      </c>
      <c r="B25" s="76">
        <f>B10-B24</f>
        <v>59800</v>
      </c>
    </row>
    <row r="26" ht="15.75" customHeight="1"/>
    <row r="27" ht="15.75" customHeight="1">
      <c r="A27" s="9" t="s">
        <v>103</v>
      </c>
      <c r="B27" s="77">
        <v>0.03</v>
      </c>
    </row>
    <row r="28" ht="15.75" customHeight="1">
      <c r="A28" s="9" t="s">
        <v>104</v>
      </c>
      <c r="B28" s="5">
        <v>30.0</v>
      </c>
    </row>
    <row r="29" ht="15.75" customHeight="1">
      <c r="A29" s="78" t="s">
        <v>105</v>
      </c>
      <c r="B29" s="79">
        <f>PMT(B27/12,B28*12,-B24)</f>
        <v>1008.476849</v>
      </c>
    </row>
    <row r="30" ht="15.75" customHeight="1"/>
    <row r="31" ht="15.75" customHeight="1">
      <c r="A31" s="9" t="s">
        <v>106</v>
      </c>
      <c r="B31" s="80">
        <v>3000.0</v>
      </c>
    </row>
    <row r="32" ht="15.75" customHeight="1">
      <c r="A32" s="81" t="s">
        <v>107</v>
      </c>
      <c r="B32" s="82">
        <f>B29/B31</f>
        <v>0.3361589496</v>
      </c>
    </row>
    <row r="33" ht="15.75" customHeight="1">
      <c r="A33" s="9" t="s">
        <v>108</v>
      </c>
      <c r="B33" s="83" t="str">
        <f>IF(B32&lt;0.3,"✅ ÓPTIMO",IF(B32&lt;0.35,"⚠️ OK","❌ ALTO"))</f>
        <v>⚠️ OK</v>
      </c>
    </row>
    <row r="34" ht="15.75" customHeight="1"/>
    <row r="35" ht="15.0" customHeight="1">
      <c r="A35" s="84" t="s">
        <v>109</v>
      </c>
      <c r="B35" s="2"/>
      <c r="C35" s="2"/>
      <c r="D35" s="3"/>
    </row>
    <row r="36" ht="15.75" customHeight="1">
      <c r="A36" s="9" t="s">
        <v>110</v>
      </c>
      <c r="B36" s="70">
        <f>B25</f>
        <v>59800</v>
      </c>
    </row>
    <row r="37" ht="15.75" customHeight="1">
      <c r="A37" s="9" t="s">
        <v>111</v>
      </c>
      <c r="B37" s="70">
        <f>B20</f>
        <v>54525</v>
      </c>
    </row>
    <row r="38" ht="15.75" customHeight="1">
      <c r="A38" s="9" t="s">
        <v>112</v>
      </c>
      <c r="B38" s="85">
        <v>0.0</v>
      </c>
    </row>
    <row r="39" ht="15.75" customHeight="1">
      <c r="A39" s="9" t="s">
        <v>113</v>
      </c>
      <c r="B39" s="71">
        <v>3000.0</v>
      </c>
    </row>
    <row r="40" ht="15.75" customHeight="1">
      <c r="A40" s="86" t="s">
        <v>114</v>
      </c>
      <c r="B40" s="87">
        <f>B36+B37+B38+B39</f>
        <v>117325</v>
      </c>
    </row>
    <row r="41" ht="15.75" customHeight="1"/>
    <row r="42" ht="15.75" customHeight="1">
      <c r="A42" s="9" t="s">
        <v>115</v>
      </c>
      <c r="B42" s="44">
        <f>B7</f>
        <v>55104.56</v>
      </c>
    </row>
    <row r="43" ht="15.75" customHeight="1">
      <c r="A43" s="72" t="s">
        <v>116</v>
      </c>
      <c r="B43" s="73">
        <f>MAX(0,B40-B42)</f>
        <v>62220.44</v>
      </c>
    </row>
    <row r="44" ht="15.75" customHeight="1"/>
    <row r="45" ht="15.75" customHeight="1">
      <c r="A45" s="9" t="s">
        <v>117</v>
      </c>
      <c r="B45" s="80">
        <v>800.0</v>
      </c>
    </row>
    <row r="46" ht="15.75" customHeight="1">
      <c r="A46" s="9" t="s">
        <v>118</v>
      </c>
      <c r="B46" s="9">
        <f>IF(B43=0,0,CEILING(B43/B45,1))</f>
        <v>78</v>
      </c>
    </row>
    <row r="47" ht="15.75" customHeight="1">
      <c r="A47" s="88" t="s">
        <v>119</v>
      </c>
      <c r="B47" s="89">
        <f>IF(B43=0,"¡Ya!",EDATE(TODAY(),B46))</f>
        <v>48429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3:D3"/>
    <mergeCell ref="A9:D9"/>
    <mergeCell ref="A14:D14"/>
    <mergeCell ref="A22:D22"/>
    <mergeCell ref="A35:D3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1.0"/>
    <col customWidth="1" min="15" max="36" width="8.71"/>
  </cols>
  <sheetData>
    <row r="1" ht="17.25" customHeight="1">
      <c r="A1" s="90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91" t="s">
        <v>121</v>
      </c>
    </row>
    <row r="4">
      <c r="A4" s="92" t="s">
        <v>4</v>
      </c>
      <c r="B4" s="93" t="s">
        <v>7</v>
      </c>
      <c r="C4" s="93" t="s">
        <v>8</v>
      </c>
      <c r="D4" s="93" t="s">
        <v>9</v>
      </c>
      <c r="E4" s="93" t="s">
        <v>10</v>
      </c>
      <c r="F4" s="93" t="s">
        <v>11</v>
      </c>
      <c r="G4" s="93" t="s">
        <v>12</v>
      </c>
      <c r="H4" s="93" t="s">
        <v>13</v>
      </c>
      <c r="I4" s="93" t="s">
        <v>14</v>
      </c>
      <c r="J4" s="93" t="s">
        <v>15</v>
      </c>
      <c r="K4" s="93" t="s">
        <v>16</v>
      </c>
      <c r="L4" s="93" t="s">
        <v>17</v>
      </c>
      <c r="M4" s="93" t="s">
        <v>18</v>
      </c>
    </row>
    <row r="5">
      <c r="A5" s="94" t="s">
        <v>122</v>
      </c>
      <c r="B5" s="95">
        <f>Ingresos!D19</f>
        <v>49</v>
      </c>
      <c r="C5" s="95">
        <f>Ingresos!E19</f>
        <v>0</v>
      </c>
      <c r="D5" s="95">
        <f>Ingresos!F19</f>
        <v>0</v>
      </c>
      <c r="E5" s="95">
        <f>Ingresos!G19</f>
        <v>0</v>
      </c>
      <c r="F5" s="95">
        <f>Ingresos!H19</f>
        <v>0</v>
      </c>
      <c r="G5" s="95">
        <f>Ingresos!I19</f>
        <v>0</v>
      </c>
      <c r="H5" s="95">
        <f>Ingresos!J19</f>
        <v>0</v>
      </c>
      <c r="I5" s="95">
        <f>Ingresos!K19</f>
        <v>0</v>
      </c>
      <c r="J5" s="95">
        <f>Ingresos!L19</f>
        <v>0</v>
      </c>
      <c r="K5" s="95">
        <f>Ingresos!M19</f>
        <v>0</v>
      </c>
      <c r="L5" s="95">
        <f>Ingresos!N19</f>
        <v>0</v>
      </c>
      <c r="M5" s="95">
        <f>Ingresos!O19</f>
        <v>0</v>
      </c>
    </row>
    <row r="6">
      <c r="A6" s="94" t="s">
        <v>123</v>
      </c>
      <c r="B6" s="95">
        <f>Ingresos!D35</f>
        <v>881.44</v>
      </c>
      <c r="C6" s="95">
        <f>Ingresos!E35</f>
        <v>881.44</v>
      </c>
      <c r="D6" s="95">
        <f>Ingresos!F35</f>
        <v>4681.44</v>
      </c>
      <c r="E6" s="95">
        <f>Ingresos!G35</f>
        <v>4681.44</v>
      </c>
      <c r="F6" s="95">
        <f>Ingresos!H35</f>
        <v>4681.44</v>
      </c>
      <c r="G6" s="95">
        <f>Ingresos!I35</f>
        <v>4681.44</v>
      </c>
      <c r="H6" s="95">
        <f>Ingresos!J35</f>
        <v>3500</v>
      </c>
      <c r="I6" s="95">
        <f>Ingresos!K35</f>
        <v>3500</v>
      </c>
      <c r="J6" s="95">
        <f>Ingresos!L35</f>
        <v>3500</v>
      </c>
      <c r="K6" s="95">
        <f>Ingresos!M35</f>
        <v>3500</v>
      </c>
      <c r="L6" s="95">
        <f>Ingresos!N35</f>
        <v>3500</v>
      </c>
      <c r="M6" s="95">
        <f>Ingresos!O35</f>
        <v>3500</v>
      </c>
    </row>
    <row r="7">
      <c r="A7" s="94" t="s">
        <v>124</v>
      </c>
      <c r="B7" s="95">
        <f>Gastos!D29</f>
        <v>0</v>
      </c>
      <c r="C7" s="95">
        <f>Gastos!E29</f>
        <v>250</v>
      </c>
      <c r="D7" s="95">
        <f>Gastos!F29</f>
        <v>250</v>
      </c>
      <c r="E7" s="95">
        <f>Gastos!G29</f>
        <v>250</v>
      </c>
      <c r="F7" s="95">
        <f>Gastos!H29</f>
        <v>250</v>
      </c>
      <c r="G7" s="95">
        <f>Gastos!I29</f>
        <v>188</v>
      </c>
      <c r="H7" s="95">
        <f>Gastos!J29</f>
        <v>0</v>
      </c>
      <c r="I7" s="95">
        <f>Gastos!K29</f>
        <v>0</v>
      </c>
      <c r="J7" s="95">
        <f>Gastos!L29</f>
        <v>0</v>
      </c>
      <c r="K7" s="95">
        <f>Gastos!M29</f>
        <v>0</v>
      </c>
      <c r="L7" s="95">
        <f>Gastos!N29</f>
        <v>0</v>
      </c>
      <c r="M7" s="95">
        <f>Gastos!O29</f>
        <v>0</v>
      </c>
    </row>
    <row r="8">
      <c r="A8" s="94" t="s">
        <v>125</v>
      </c>
      <c r="B8" s="95">
        <f>Gastos!D55</f>
        <v>0</v>
      </c>
      <c r="C8" s="95">
        <f>Gastos!E55</f>
        <v>250</v>
      </c>
      <c r="D8" s="95">
        <f>Gastos!F55</f>
        <v>250</v>
      </c>
      <c r="E8" s="95">
        <f>Gastos!G55</f>
        <v>250</v>
      </c>
      <c r="F8" s="95">
        <f>Gastos!H55</f>
        <v>250</v>
      </c>
      <c r="G8" s="95">
        <f>Gastos!I55</f>
        <v>187</v>
      </c>
      <c r="H8" s="95">
        <f>Gastos!J55</f>
        <v>0</v>
      </c>
      <c r="I8" s="95">
        <f>Gastos!K55</f>
        <v>0</v>
      </c>
      <c r="J8" s="95">
        <f>Gastos!L55</f>
        <v>0</v>
      </c>
      <c r="K8" s="95">
        <f>Gastos!M55</f>
        <v>0</v>
      </c>
      <c r="L8" s="95">
        <f>Gastos!N55</f>
        <v>0</v>
      </c>
      <c r="M8" s="95">
        <f>Gastos!O55</f>
        <v>0</v>
      </c>
    </row>
    <row r="9">
      <c r="A9" s="94" t="s">
        <v>126</v>
      </c>
      <c r="B9" s="95">
        <f>'Balance y Saldos'!C16</f>
        <v>0</v>
      </c>
      <c r="C9" s="95">
        <f>'Balance y Saldos'!D16</f>
        <v>0</v>
      </c>
      <c r="D9" s="95">
        <f>'Balance y Saldos'!E16</f>
        <v>0</v>
      </c>
      <c r="E9" s="95">
        <f>'Balance y Saldos'!F16</f>
        <v>0</v>
      </c>
      <c r="F9" s="95">
        <f>'Balance y Saldos'!G16</f>
        <v>0</v>
      </c>
      <c r="G9" s="95">
        <f>'Balance y Saldos'!H16</f>
        <v>0</v>
      </c>
      <c r="H9" s="95">
        <f>'Balance y Saldos'!I16</f>
        <v>0</v>
      </c>
      <c r="I9" s="95">
        <f>'Balance y Saldos'!J16</f>
        <v>0</v>
      </c>
      <c r="J9" s="95">
        <f>'Balance y Saldos'!K16</f>
        <v>0</v>
      </c>
      <c r="K9" s="95">
        <f>'Balance y Saldos'!L16</f>
        <v>0</v>
      </c>
      <c r="L9" s="95">
        <f>'Balance y Saldos'!M16</f>
        <v>0</v>
      </c>
      <c r="M9" s="95">
        <f>'Balance y Saldos'!N16</f>
        <v>0</v>
      </c>
    </row>
    <row r="10">
      <c r="A10" s="94" t="s">
        <v>127</v>
      </c>
      <c r="B10" s="95">
        <f>'Balance y Saldos'!C24</f>
        <v>0</v>
      </c>
      <c r="C10" s="95">
        <f>'Balance y Saldos'!D24</f>
        <v>0</v>
      </c>
      <c r="D10" s="95">
        <f>'Balance y Saldos'!E24</f>
        <v>0</v>
      </c>
      <c r="E10" s="95">
        <f>'Balance y Saldos'!F24</f>
        <v>0</v>
      </c>
      <c r="F10" s="95">
        <f>'Balance y Saldos'!G24</f>
        <v>0</v>
      </c>
      <c r="G10" s="95">
        <f>'Balance y Saldos'!H24</f>
        <v>0</v>
      </c>
      <c r="H10" s="95">
        <f>'Balance y Saldos'!I24</f>
        <v>0</v>
      </c>
      <c r="I10" s="95">
        <f>'Balance y Saldos'!J24</f>
        <v>0</v>
      </c>
      <c r="J10" s="95">
        <f>'Balance y Saldos'!K24</f>
        <v>0</v>
      </c>
      <c r="K10" s="95">
        <f>'Balance y Saldos'!L24</f>
        <v>0</v>
      </c>
      <c r="L10" s="95">
        <f>'Balance y Saldos'!M24</f>
        <v>0</v>
      </c>
      <c r="M10" s="95">
        <f>'Balance y Saldos'!N24</f>
        <v>0</v>
      </c>
    </row>
    <row r="11">
      <c r="A11" s="94" t="s">
        <v>77</v>
      </c>
      <c r="B11" s="95">
        <f>'Balance y Saldos'!C32</f>
        <v>2000</v>
      </c>
      <c r="C11" s="95">
        <f>'Balance y Saldos'!D32</f>
        <v>2000</v>
      </c>
      <c r="D11" s="95">
        <f>'Balance y Saldos'!E32</f>
        <v>2000</v>
      </c>
      <c r="E11" s="95">
        <f>'Balance y Saldos'!F32</f>
        <v>2000</v>
      </c>
      <c r="F11" s="95">
        <f>'Balance y Saldos'!G32</f>
        <v>2000</v>
      </c>
      <c r="G11" s="95">
        <f>'Balance y Saldos'!H32</f>
        <v>2000</v>
      </c>
      <c r="H11" s="95">
        <f>'Balance y Saldos'!I32</f>
        <v>2000</v>
      </c>
      <c r="I11" s="95">
        <f>'Balance y Saldos'!J32</f>
        <v>2000</v>
      </c>
      <c r="J11" s="95">
        <f>'Balance y Saldos'!K32</f>
        <v>2000</v>
      </c>
      <c r="K11" s="95">
        <f>'Balance y Saldos'!L32</f>
        <v>2000</v>
      </c>
      <c r="L11" s="95">
        <f>'Balance y Saldos'!M32</f>
        <v>2000</v>
      </c>
      <c r="M11" s="95">
        <f>'Balance y Saldos'!N32</f>
        <v>2000</v>
      </c>
    </row>
    <row r="12">
      <c r="A12" s="94" t="s">
        <v>128</v>
      </c>
      <c r="B12" s="95">
        <f>'Balance y Saldos'!C39</f>
        <v>16872.36</v>
      </c>
      <c r="C12" s="95">
        <f>'Balance y Saldos'!D39</f>
        <v>17253.8</v>
      </c>
      <c r="D12" s="95">
        <f>'Balance y Saldos'!E39</f>
        <v>21435.24</v>
      </c>
      <c r="E12" s="95">
        <f>'Balance y Saldos'!F39</f>
        <v>25616.68</v>
      </c>
      <c r="F12" s="95">
        <f>'Balance y Saldos'!G39</f>
        <v>29798.12</v>
      </c>
      <c r="G12" s="95">
        <f>'Balance y Saldos'!H39</f>
        <v>34104.56</v>
      </c>
      <c r="H12" s="95">
        <f>'Balance y Saldos'!I39</f>
        <v>37604.56</v>
      </c>
      <c r="I12" s="95">
        <f>'Balance y Saldos'!J39</f>
        <v>41104.56</v>
      </c>
      <c r="J12" s="95">
        <f>'Balance y Saldos'!K39</f>
        <v>44604.56</v>
      </c>
      <c r="K12" s="95">
        <f>'Balance y Saldos'!L39</f>
        <v>48104.56</v>
      </c>
      <c r="L12" s="95">
        <f>'Balance y Saldos'!M39</f>
        <v>51604.56</v>
      </c>
      <c r="M12" s="95">
        <f>'Balance y Saldos'!N39</f>
        <v>55104.56</v>
      </c>
    </row>
    <row r="14">
      <c r="A14" s="91" t="s">
        <v>129</v>
      </c>
    </row>
    <row r="15">
      <c r="A15" s="94" t="s">
        <v>130</v>
      </c>
      <c r="B15" s="95">
        <f>'Balance y Saldos'!O16</f>
        <v>0</v>
      </c>
    </row>
    <row r="16">
      <c r="A16" s="94" t="s">
        <v>131</v>
      </c>
      <c r="B16" s="95">
        <f>'Balance y Saldos'!O24</f>
        <v>0</v>
      </c>
    </row>
    <row r="18">
      <c r="A18" s="91" t="s">
        <v>132</v>
      </c>
    </row>
    <row r="19">
      <c r="A19" s="94" t="s">
        <v>133</v>
      </c>
      <c r="B19" s="95">
        <f>Ingresos!P17+Ingresos!P33</f>
        <v>0</v>
      </c>
    </row>
    <row r="20">
      <c r="A20" s="94" t="s">
        <v>134</v>
      </c>
      <c r="B20" s="95">
        <f>Ingresos!P18+Ingresos!P34</f>
        <v>41537.64</v>
      </c>
    </row>
    <row r="21" ht="15.75" customHeight="1"/>
    <row r="22" ht="15.75" customHeight="1">
      <c r="A22" s="91" t="s">
        <v>135</v>
      </c>
    </row>
    <row r="23" ht="15.75" customHeight="1">
      <c r="A23" s="94" t="s">
        <v>136</v>
      </c>
      <c r="B23" s="95">
        <f>'Compra Piso'!B40</f>
        <v>117325</v>
      </c>
    </row>
    <row r="24" ht="15.75" customHeight="1">
      <c r="A24" s="94" t="s">
        <v>115</v>
      </c>
      <c r="B24" s="95">
        <f>'Compra Piso'!B7</f>
        <v>55104.56</v>
      </c>
    </row>
    <row r="25" ht="15.75" customHeight="1">
      <c r="A25" s="94" t="s">
        <v>137</v>
      </c>
      <c r="B25" s="95">
        <f>'Compra Piso'!B43</f>
        <v>62220.44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1.0" footer="0.0" header="0.0" left="0.75" right="0.75" top="1.0"/>
  <pageSetup paperSize="9" orientation="portrait"/>
  <drawing r:id="rId1"/>
</worksheet>
</file>